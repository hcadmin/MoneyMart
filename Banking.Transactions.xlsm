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este\OneDrive\Documents\Ronaldo.Engine\"/>
    </mc:Choice>
  </mc:AlternateContent>
  <xr:revisionPtr revIDLastSave="747" documentId="6_{02265CA8-C931-4B12-A949-D92BCCFC58FD}" xr6:coauthVersionLast="41" xr6:coauthVersionMax="41" xr10:uidLastSave="{3DB846EC-AD83-451F-8865-3888767D318A}"/>
  <bookViews>
    <workbookView xWindow="-110" yWindow="-110" windowWidth="22780" windowHeight="14660" activeTab="2" xr2:uid="{00000000-000D-0000-FFFF-FFFF00000000}"/>
  </bookViews>
  <sheets>
    <sheet name="Menu" sheetId="1" r:id="rId1"/>
    <sheet name="Transacoes" sheetId="11" r:id="rId2"/>
    <sheet name="SysLog" sheetId="13" r:id="rId3"/>
    <sheet name="Config" sheetId="10" r:id="rId4"/>
    <sheet name="Reports" sheetId="14" r:id="rId5"/>
    <sheet name="Plan1" sheetId="12" state="hidden" r:id="rId6"/>
  </sheets>
  <functionGroups builtInGroupCount="19"/>
  <definedNames>
    <definedName name="_xlnm._FilterDatabase" localSheetId="1" hidden="1">Transacoes!$B$10:$L$30</definedName>
    <definedName name="Cliente.BR">Config!$C$14:$C$20</definedName>
    <definedName name="Cliente.US">Config!$F$14:$F$20</definedName>
    <definedName name="Data_Corrente">Transacoes!$E$4</definedName>
    <definedName name="DataSet">Transacoes!$B$10:$L$58</definedName>
    <definedName name="Lista_Bancos_Brasil">Config!$C$6:$C$8</definedName>
    <definedName name="Lista_de_bancos">Config!$F$6:$F$9</definedName>
    <definedName name="Lista_de_Moedas">Config!$L$4:$L$5</definedName>
    <definedName name="Lista_de_Pessoas">Config!$C$14:$C$20</definedName>
    <definedName name="Lista_De_Saldos_Destino">Config!$C$14:$D$20</definedName>
    <definedName name="Lista_De_Saldos_Origem">Config!$G$6:$G$9</definedName>
    <definedName name="MM.BR">Config!$C$6:$C$8</definedName>
    <definedName name="MM.US">Config!$F$6:$F$9</definedName>
    <definedName name="PrimaryKey">Config!$N$4</definedName>
    <definedName name="SysLog">SysLog!$A$1:$D$118</definedName>
    <definedName name="Tipo_de_Transacao">Config!$J$4:$J$6</definedName>
    <definedName name="Usuario_Ativo">Transacoes!$E$6</definedName>
  </definedName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1" i="11" l="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8" i="11" l="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27" i="11"/>
  <c r="I19" i="1" l="1"/>
  <c r="I12" i="1"/>
  <c r="I17" i="1"/>
  <c r="I10" i="1"/>
  <c r="F19" i="1"/>
  <c r="F17" i="1"/>
  <c r="F12" i="1"/>
  <c r="F10" i="1"/>
</calcChain>
</file>

<file path=xl/sharedStrings.xml><?xml version="1.0" encoding="utf-8"?>
<sst xmlns="http://schemas.openxmlformats.org/spreadsheetml/2006/main" count="442" uniqueCount="97">
  <si>
    <t>Valor R$</t>
  </si>
  <si>
    <t>Saldo</t>
  </si>
  <si>
    <t>TIA</t>
  </si>
  <si>
    <t>FESTINHA</t>
  </si>
  <si>
    <t>JK</t>
  </si>
  <si>
    <t>NEIDE</t>
  </si>
  <si>
    <t>BAHIA</t>
  </si>
  <si>
    <t>CHICAO</t>
  </si>
  <si>
    <t>BOFA_BLUE</t>
  </si>
  <si>
    <t>BOFA_SEVEN</t>
  </si>
  <si>
    <t>TD_SEVEN</t>
  </si>
  <si>
    <t>CACHOEIRA</t>
  </si>
  <si>
    <t>TD_BLUE</t>
  </si>
  <si>
    <t>DOLAR</t>
  </si>
  <si>
    <t>REAIS</t>
  </si>
  <si>
    <t xml:space="preserve">Date:  </t>
  </si>
  <si>
    <t>Luiz</t>
  </si>
  <si>
    <t>Primary Key</t>
  </si>
  <si>
    <t>DATA</t>
  </si>
  <si>
    <t>Cliente</t>
  </si>
  <si>
    <t>Tipo Transação</t>
  </si>
  <si>
    <t>Credito</t>
  </si>
  <si>
    <t>Cotacao</t>
  </si>
  <si>
    <t>3.10</t>
  </si>
  <si>
    <t>Valor.R$</t>
  </si>
  <si>
    <t>Destino.Brazil</t>
  </si>
  <si>
    <t>Itau</t>
  </si>
  <si>
    <t>Origem.US</t>
  </si>
  <si>
    <t>TD_Blue</t>
  </si>
  <si>
    <t>Destino.US</t>
  </si>
  <si>
    <t>Chicao</t>
  </si>
  <si>
    <t>Valor da Transferencia</t>
  </si>
  <si>
    <t>$500</t>
  </si>
  <si>
    <t>Mickey Mouse</t>
  </si>
  <si>
    <t>Compra</t>
  </si>
  <si>
    <t>PreparedBy</t>
  </si>
  <si>
    <t>ID</t>
  </si>
  <si>
    <t>Tipo de Transacao</t>
  </si>
  <si>
    <t>Moeda</t>
  </si>
  <si>
    <t>Date</t>
  </si>
  <si>
    <t>Valor USD$</t>
  </si>
  <si>
    <t>Saldos</t>
  </si>
  <si>
    <t>Money Mart - International Transfer$</t>
  </si>
  <si>
    <t>BB</t>
  </si>
  <si>
    <t>Venda</t>
  </si>
  <si>
    <t>Despesa</t>
  </si>
  <si>
    <t>Bradesco</t>
  </si>
  <si>
    <r>
      <t xml:space="preserve">
Money Mart
</t>
    </r>
    <r>
      <rPr>
        <b/>
        <sz val="14"/>
        <color indexed="10"/>
        <rFont val="Arial"/>
        <family val="2"/>
      </rPr>
      <t>Transacoes</t>
    </r>
  </si>
  <si>
    <t>Usuario Ativo</t>
  </si>
  <si>
    <t>&lt;0</t>
  </si>
  <si>
    <t>Red</t>
  </si>
  <si>
    <t>0 &gt;  x &lt;5000</t>
  </si>
  <si>
    <t>Yellow</t>
  </si>
  <si>
    <t>&gt; 20k</t>
  </si>
  <si>
    <t>Green</t>
  </si>
  <si>
    <t>Estevo, Luiz</t>
  </si>
  <si>
    <t>Luiz Break</t>
  </si>
  <si>
    <t>User</t>
  </si>
  <si>
    <t>TransactionType</t>
  </si>
  <si>
    <t>Description</t>
  </si>
  <si>
    <t>LogIn</t>
  </si>
  <si>
    <t>User Logged Into the System</t>
  </si>
  <si>
    <t>Month</t>
  </si>
  <si>
    <t>Row Labels</t>
  </si>
  <si>
    <t>Grand Total</t>
  </si>
  <si>
    <t>Column Labels</t>
  </si>
  <si>
    <t>Sum of Valor R$</t>
  </si>
  <si>
    <t>Saldo R$</t>
  </si>
  <si>
    <t>Saldo US$</t>
  </si>
  <si>
    <t>Clientes BR</t>
  </si>
  <si>
    <t>Clientes US</t>
  </si>
  <si>
    <t>MM Brasil</t>
  </si>
  <si>
    <t>MM US</t>
  </si>
  <si>
    <t>Client US</t>
  </si>
  <si>
    <t>Money Mart US</t>
  </si>
  <si>
    <t>Money Mart Br</t>
  </si>
  <si>
    <t>Cliente Br</t>
  </si>
  <si>
    <t>57: Compra Requisitada Por  CACHOEIRA No Valor R$ 50</t>
  </si>
  <si>
    <t>57: Debito de 50 da conta: CACHOEIRA - BR</t>
  </si>
  <si>
    <t>57: Credito de 50 na conta: Itau - BR</t>
  </si>
  <si>
    <t>57: Debito de 50 na conta: TD_BLUE - US</t>
  </si>
  <si>
    <t>57: Credito de 50 na conta: CACHOEIRA - US</t>
  </si>
  <si>
    <t>59: Venda Requisitada Por  CACHOEIRA No Valor R$ 49</t>
  </si>
  <si>
    <t>59: Debito de 49 na conta: CACHOEIRA - US</t>
  </si>
  <si>
    <t>59: Credito de 49 na conta: TD_BLUE - US</t>
  </si>
  <si>
    <t>59: Debito de 49 da conta: Itau - BR</t>
  </si>
  <si>
    <t>59: Credito de 49 na conta: CACHOEIRA - BR</t>
  </si>
  <si>
    <t>60: Compra Requisitada Por  CACHOEIRA No Valor R$ 49 @1</t>
  </si>
  <si>
    <t>60: Debito de 49 da conta: CACHOEIRA - BR</t>
  </si>
  <si>
    <t>60: Credito de 49 na conta: Itau - BR</t>
  </si>
  <si>
    <t>60: Debito de 49 na conta: TD_BLUE - US</t>
  </si>
  <si>
    <t>60: Credito de 49 na conta: CACHOEIRA - US</t>
  </si>
  <si>
    <t>61: Venda Requisitada Por  CACHOEIRA No Valor US$ 49 @1</t>
  </si>
  <si>
    <t>61: Debito de 49 na conta: CACHOEIRA - US</t>
  </si>
  <si>
    <t>61: Credito de 49 na conta: TD_BLUE - US</t>
  </si>
  <si>
    <t>61: Debito de 49 da conta: Itau - BR</t>
  </si>
  <si>
    <t>61: Credito de 49 na conta: CACHOEIRA - 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</si>
</sst>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;\-&quot;$&quot;#,##0.00"/>
    <numFmt numFmtId="44" formatCode="_-&quot;$&quot;* #,##0.00_-;\-&quot;$&quot;* #,##0.00_-;_-&quot;$&quot;* &quot;-&quot;??_-;_-@_-"/>
    <numFmt numFmtId="164" formatCode="[$-409]d\-mmm\-yy;@"/>
    <numFmt numFmtId="165" formatCode="_-[$$-409]* #,##0.00_ ;_-[$$-409]* \-#,##0.00\ ;_-[$$-409]* &quot;-&quot;??_ ;_-@_ "/>
  </numFmts>
  <fonts count="22" x14ac:knownFonts="1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indexed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color rgb="FF000000"/>
      <name val="Arial"/>
      <family val="2"/>
    </font>
    <font>
      <b/>
      <i/>
      <sz val="10"/>
      <color rgb="FFFFFFFF"/>
      <name val="Arial"/>
      <family val="2"/>
    </font>
    <font>
      <b/>
      <sz val="11"/>
      <color indexed="18"/>
      <name val="Calibri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3" tint="0.39997558519241921"/>
      <name val="Calibri"/>
      <family val="2"/>
      <scheme val="minor"/>
    </font>
    <font>
      <b/>
      <i/>
      <sz val="10"/>
      <color rgb="FF006600"/>
      <name val="Arial"/>
      <family val="2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00"/>
      <name val="Calibri"/>
      <family val="2"/>
      <scheme val="minor"/>
    </font>
    <font>
      <sz val="20"/>
      <color rgb="FFFFFF00"/>
      <name val="Calibri"/>
      <family val="2"/>
      <scheme val="minor"/>
    </font>
    <font>
      <i/>
      <sz val="36"/>
      <color theme="0"/>
      <name val="Calibri"/>
      <family val="2"/>
      <scheme val="minor"/>
    </font>
    <font>
      <sz val="11"/>
      <color rgb="FFFF0000"/>
      <name val="Calibri"/>
      <family val="2"/>
    </font>
    <font>
      <sz val="11"/>
      <color theme="0" tint="-0.1499984740745262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3FEA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DAEFC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1" fillId="0" borderId="0" applyFont="0" applyFill="0" applyBorder="0" applyAlignment="0" applyProtection="0"/>
  </cellStyleXfs>
  <cellXfs count="128">
    <xf numFmtId="0" fontId="0" fillId="0" borderId="0" xfId="0"/>
    <xf numFmtId="0" fontId="1" fillId="0" borderId="0" xfId="0" applyFont="1"/>
    <xf numFmtId="0" fontId="0" fillId="3" borderId="2" xfId="0" applyFill="1" applyBorder="1"/>
    <xf numFmtId="0" fontId="0" fillId="3" borderId="3" xfId="0" applyFill="1" applyBorder="1"/>
    <xf numFmtId="0" fontId="0" fillId="4" borderId="2" xfId="0" applyFill="1" applyBorder="1"/>
    <xf numFmtId="0" fontId="0" fillId="6" borderId="4" xfId="0" applyFill="1" applyBorder="1" applyAlignment="1">
      <alignment wrapText="1"/>
    </xf>
    <xf numFmtId="0" fontId="0" fillId="6" borderId="5" xfId="0" applyFill="1" applyBorder="1" applyAlignment="1">
      <alignment wrapText="1"/>
    </xf>
    <xf numFmtId="0" fontId="6" fillId="6" borderId="5" xfId="0" applyFont="1" applyFill="1" applyBorder="1" applyAlignment="1">
      <alignment wrapText="1"/>
    </xf>
    <xf numFmtId="0" fontId="0" fillId="4" borderId="0" xfId="0" applyFill="1"/>
    <xf numFmtId="0" fontId="0" fillId="6" borderId="6" xfId="0" applyFill="1" applyBorder="1" applyAlignment="1">
      <alignment wrapText="1"/>
    </xf>
    <xf numFmtId="0" fontId="0" fillId="6" borderId="0" xfId="0" applyFill="1" applyAlignment="1">
      <alignment wrapText="1"/>
    </xf>
    <xf numFmtId="0" fontId="6" fillId="6" borderId="0" xfId="0" applyFont="1" applyFill="1" applyAlignment="1">
      <alignment wrapText="1"/>
    </xf>
    <xf numFmtId="0" fontId="7" fillId="6" borderId="6" xfId="0" applyFont="1" applyFill="1" applyBorder="1" applyAlignment="1">
      <alignment horizontal="right" vertical="center" wrapText="1"/>
    </xf>
    <xf numFmtId="164" fontId="7" fillId="5" borderId="1" xfId="0" applyNumberFormat="1" applyFont="1" applyFill="1" applyBorder="1" applyAlignment="1" applyProtection="1">
      <alignment horizontal="center" wrapText="1"/>
      <protection locked="0"/>
    </xf>
    <xf numFmtId="0" fontId="0" fillId="6" borderId="6" xfId="0" applyFill="1" applyBorder="1" applyAlignment="1">
      <alignment horizontal="right" vertical="center"/>
    </xf>
    <xf numFmtId="0" fontId="7" fillId="6" borderId="0" xfId="0" applyFont="1" applyFill="1" applyAlignment="1">
      <alignment wrapText="1"/>
    </xf>
    <xf numFmtId="0" fontId="7" fillId="6" borderId="0" xfId="0" applyFont="1" applyFill="1" applyAlignment="1">
      <alignment horizontal="left" vertical="center" wrapText="1"/>
    </xf>
    <xf numFmtId="0" fontId="0" fillId="6" borderId="7" xfId="0" applyFill="1" applyBorder="1" applyAlignment="1">
      <alignment wrapText="1"/>
    </xf>
    <xf numFmtId="0" fontId="0" fillId="6" borderId="8" xfId="0" applyFill="1" applyBorder="1" applyAlignment="1">
      <alignment wrapText="1"/>
    </xf>
    <xf numFmtId="0" fontId="6" fillId="6" borderId="8" xfId="0" applyFont="1" applyFill="1" applyBorder="1" applyAlignment="1">
      <alignment wrapText="1"/>
    </xf>
    <xf numFmtId="0" fontId="6" fillId="3" borderId="3" xfId="0" applyFont="1" applyFill="1" applyBorder="1"/>
    <xf numFmtId="0" fontId="6" fillId="3" borderId="9" xfId="0" applyFont="1" applyFill="1" applyBorder="1"/>
    <xf numFmtId="0" fontId="0" fillId="3" borderId="10" xfId="0" applyFill="1" applyBorder="1"/>
    <xf numFmtId="0" fontId="6" fillId="0" borderId="0" xfId="0" applyFont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3" borderId="12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7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0" fillId="7" borderId="1" xfId="0" applyFont="1" applyFill="1" applyBorder="1" applyAlignment="1">
      <alignment horizontal="center" vertical="center"/>
    </xf>
    <xf numFmtId="22" fontId="0" fillId="0" borderId="0" xfId="0" applyNumberFormat="1" applyAlignment="1" applyProtection="1">
      <alignment horizontal="left" vertical="top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165" fontId="0" fillId="0" borderId="0" xfId="0" applyNumberFormat="1"/>
    <xf numFmtId="0" fontId="0" fillId="8" borderId="1" xfId="0" applyFill="1" applyBorder="1"/>
    <xf numFmtId="0" fontId="0" fillId="9" borderId="1" xfId="0" applyFill="1" applyBorder="1"/>
    <xf numFmtId="22" fontId="6" fillId="0" borderId="0" xfId="0" applyNumberFormat="1" applyFont="1" applyAlignment="1" applyProtection="1">
      <alignment horizontal="left" vertical="top" wrapText="1"/>
      <protection locked="0"/>
    </xf>
    <xf numFmtId="0" fontId="10" fillId="7" borderId="11" xfId="0" applyFont="1" applyFill="1" applyBorder="1" applyAlignment="1">
      <alignment horizontal="center" vertical="center"/>
    </xf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2" fillId="2" borderId="13" xfId="0" applyFont="1" applyFill="1" applyBorder="1" applyAlignment="1">
      <alignment horizontal="center"/>
    </xf>
    <xf numFmtId="2" fontId="0" fillId="0" borderId="0" xfId="0" applyNumberFormat="1" applyAlignment="1" applyProtection="1">
      <alignment horizontal="right" vertical="top" wrapText="1"/>
      <protection locked="0"/>
    </xf>
    <xf numFmtId="44" fontId="0" fillId="0" borderId="0" xfId="1" applyFont="1" applyAlignment="1" applyProtection="1">
      <alignment horizontal="right" vertical="top" wrapText="1"/>
      <protection locked="0"/>
    </xf>
    <xf numFmtId="0" fontId="9" fillId="11" borderId="11" xfId="0" applyFont="1" applyFill="1" applyBorder="1" applyAlignment="1" applyProtection="1">
      <alignment horizontal="center" vertical="center" wrapText="1"/>
      <protection locked="0"/>
    </xf>
    <xf numFmtId="0" fontId="14" fillId="10" borderId="1" xfId="0" applyFont="1" applyFill="1" applyBorder="1" applyAlignment="1" applyProtection="1">
      <alignment horizontal="center" vertical="center" wrapText="1"/>
      <protection locked="0"/>
    </xf>
    <xf numFmtId="0" fontId="7" fillId="0" borderId="6" xfId="0" applyFont="1" applyBorder="1" applyAlignment="1" applyProtection="1">
      <alignment horizontal="center" vertical="top" wrapText="1"/>
      <protection locked="0"/>
    </xf>
    <xf numFmtId="0" fontId="0" fillId="0" borderId="26" xfId="0" applyBorder="1"/>
    <xf numFmtId="0" fontId="0" fillId="0" borderId="18" xfId="0" applyBorder="1"/>
    <xf numFmtId="0" fontId="0" fillId="0" borderId="20" xfId="0" applyBorder="1"/>
    <xf numFmtId="0" fontId="1" fillId="0" borderId="20" xfId="0" applyFont="1" applyBorder="1"/>
    <xf numFmtId="0" fontId="0" fillId="0" borderId="27" xfId="0" applyBorder="1"/>
    <xf numFmtId="0" fontId="0" fillId="0" borderId="22" xfId="0" applyBorder="1"/>
    <xf numFmtId="0" fontId="0" fillId="0" borderId="1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6" borderId="30" xfId="0" applyFill="1" applyBorder="1" applyAlignment="1">
      <alignment horizontal="center" wrapText="1"/>
    </xf>
    <xf numFmtId="0" fontId="0" fillId="6" borderId="31" xfId="0" applyFill="1" applyBorder="1" applyAlignment="1">
      <alignment horizontal="center" wrapText="1"/>
    </xf>
    <xf numFmtId="0" fontId="0" fillId="6" borderId="32" xfId="0" applyFill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22" fontId="0" fillId="0" borderId="0" xfId="0" applyNumberFormat="1"/>
    <xf numFmtId="0" fontId="20" fillId="16" borderId="33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Alignment="1">
      <alignment horizontal="center"/>
    </xf>
    <xf numFmtId="7" fontId="0" fillId="0" borderId="0" xfId="1" applyNumberFormat="1" applyFont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7" fontId="0" fillId="2" borderId="18" xfId="1" applyNumberFormat="1" applyFont="1" applyFill="1" applyBorder="1"/>
    <xf numFmtId="7" fontId="0" fillId="2" borderId="20" xfId="1" applyNumberFormat="1" applyFont="1" applyFill="1" applyBorder="1"/>
    <xf numFmtId="7" fontId="0" fillId="2" borderId="22" xfId="1" applyNumberFormat="1" applyFont="1" applyFill="1" applyBorder="1"/>
    <xf numFmtId="0" fontId="0" fillId="17" borderId="0" xfId="0" applyFill="1"/>
    <xf numFmtId="7" fontId="0" fillId="17" borderId="0" xfId="1" applyNumberFormat="1" applyFont="1" applyFill="1"/>
    <xf numFmtId="0" fontId="0" fillId="18" borderId="0" xfId="0" applyFill="1"/>
    <xf numFmtId="7" fontId="0" fillId="18" borderId="0" xfId="1" applyNumberFormat="1" applyFont="1" applyFill="1"/>
    <xf numFmtId="0" fontId="0" fillId="19" borderId="30" xfId="0" applyFill="1" applyBorder="1"/>
    <xf numFmtId="0" fontId="0" fillId="19" borderId="31" xfId="0" applyFill="1" applyBorder="1"/>
    <xf numFmtId="0" fontId="0" fillId="19" borderId="32" xfId="0" applyFill="1" applyBorder="1"/>
    <xf numFmtId="7" fontId="0" fillId="2" borderId="30" xfId="1" applyNumberFormat="1" applyFont="1" applyFill="1" applyBorder="1"/>
    <xf numFmtId="7" fontId="0" fillId="2" borderId="31" xfId="1" applyNumberFormat="1" applyFont="1" applyFill="1" applyBorder="1"/>
    <xf numFmtId="7" fontId="0" fillId="2" borderId="32" xfId="1" applyNumberFormat="1" applyFont="1" applyFill="1" applyBorder="1"/>
    <xf numFmtId="0" fontId="0" fillId="0" borderId="7" xfId="0" applyBorder="1"/>
    <xf numFmtId="0" fontId="13" fillId="7" borderId="14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16" xfId="0" applyFont="1" applyFill="1" applyBorder="1" applyAlignment="1">
      <alignment horizontal="center"/>
    </xf>
    <xf numFmtId="44" fontId="15" fillId="11" borderId="19" xfId="0" applyNumberFormat="1" applyFont="1" applyFill="1" applyBorder="1" applyAlignment="1">
      <alignment horizontal="center" vertical="center" wrapText="1"/>
    </xf>
    <xf numFmtId="44" fontId="15" fillId="11" borderId="20" xfId="0" applyNumberFormat="1" applyFont="1" applyFill="1" applyBorder="1" applyAlignment="1">
      <alignment horizontal="center" vertical="center" wrapText="1"/>
    </xf>
    <xf numFmtId="44" fontId="15" fillId="11" borderId="21" xfId="0" applyNumberFormat="1" applyFont="1" applyFill="1" applyBorder="1" applyAlignment="1">
      <alignment horizontal="center" vertical="center" wrapText="1"/>
    </xf>
    <xf numFmtId="44" fontId="15" fillId="11" borderId="22" xfId="0" applyNumberFormat="1" applyFont="1" applyFill="1" applyBorder="1" applyAlignment="1">
      <alignment horizontal="center" vertical="center" wrapText="1"/>
    </xf>
    <xf numFmtId="0" fontId="19" fillId="14" borderId="24" xfId="0" applyFont="1" applyFill="1" applyBorder="1" applyAlignment="1">
      <alignment vertical="center" textRotation="90"/>
    </xf>
    <xf numFmtId="0" fontId="17" fillId="12" borderId="17" xfId="0" applyFont="1" applyFill="1" applyBorder="1" applyAlignment="1">
      <alignment horizontal="center" vertical="center" wrapText="1"/>
    </xf>
    <xf numFmtId="0" fontId="17" fillId="12" borderId="18" xfId="0" applyFont="1" applyFill="1" applyBorder="1" applyAlignment="1">
      <alignment horizontal="center" vertical="center" wrapText="1"/>
    </xf>
    <xf numFmtId="0" fontId="17" fillId="12" borderId="19" xfId="0" applyFont="1" applyFill="1" applyBorder="1" applyAlignment="1">
      <alignment horizontal="center" vertical="center" wrapText="1"/>
    </xf>
    <xf numFmtId="0" fontId="17" fillId="12" borderId="20" xfId="0" applyFont="1" applyFill="1" applyBorder="1" applyAlignment="1">
      <alignment horizontal="center" vertical="center" wrapText="1"/>
    </xf>
    <xf numFmtId="44" fontId="18" fillId="12" borderId="19" xfId="0" applyNumberFormat="1" applyFont="1" applyFill="1" applyBorder="1" applyAlignment="1">
      <alignment horizontal="center" vertical="center" wrapText="1"/>
    </xf>
    <xf numFmtId="44" fontId="18" fillId="12" borderId="20" xfId="0" applyNumberFormat="1" applyFont="1" applyFill="1" applyBorder="1" applyAlignment="1">
      <alignment horizontal="center" vertical="center" wrapText="1"/>
    </xf>
    <xf numFmtId="44" fontId="18" fillId="12" borderId="21" xfId="0" applyNumberFormat="1" applyFont="1" applyFill="1" applyBorder="1" applyAlignment="1">
      <alignment horizontal="center" vertical="center" wrapText="1"/>
    </xf>
    <xf numFmtId="44" fontId="18" fillId="12" borderId="22" xfId="0" applyNumberFormat="1" applyFont="1" applyFill="1" applyBorder="1" applyAlignment="1">
      <alignment horizontal="center" vertical="center" wrapText="1"/>
    </xf>
    <xf numFmtId="0" fontId="16" fillId="11" borderId="17" xfId="0" applyFont="1" applyFill="1" applyBorder="1" applyAlignment="1">
      <alignment horizontal="center" vertical="center" wrapText="1"/>
    </xf>
    <xf numFmtId="0" fontId="16" fillId="11" borderId="18" xfId="0" applyFont="1" applyFill="1" applyBorder="1" applyAlignment="1">
      <alignment horizontal="center" vertical="center" wrapText="1"/>
    </xf>
    <xf numFmtId="0" fontId="16" fillId="11" borderId="19" xfId="0" applyFont="1" applyFill="1" applyBorder="1" applyAlignment="1">
      <alignment horizontal="center" vertical="center" wrapText="1"/>
    </xf>
    <xf numFmtId="0" fontId="16" fillId="11" borderId="20" xfId="0" applyFont="1" applyFill="1" applyBorder="1" applyAlignment="1">
      <alignment horizontal="center" vertical="center" wrapText="1"/>
    </xf>
    <xf numFmtId="0" fontId="15" fillId="11" borderId="20" xfId="0" applyFont="1" applyFill="1" applyBorder="1" applyAlignment="1">
      <alignment horizontal="center" vertical="center" wrapText="1"/>
    </xf>
    <xf numFmtId="0" fontId="15" fillId="11" borderId="19" xfId="0" applyFont="1" applyFill="1" applyBorder="1" applyAlignment="1">
      <alignment horizontal="center" vertical="center" wrapText="1"/>
    </xf>
    <xf numFmtId="0" fontId="15" fillId="11" borderId="21" xfId="0" applyFont="1" applyFill="1" applyBorder="1" applyAlignment="1">
      <alignment horizontal="center" vertical="center" wrapText="1"/>
    </xf>
    <xf numFmtId="0" fontId="15" fillId="11" borderId="22" xfId="0" applyFont="1" applyFill="1" applyBorder="1" applyAlignment="1">
      <alignment horizontal="center" vertical="center" wrapText="1"/>
    </xf>
    <xf numFmtId="0" fontId="16" fillId="13" borderId="17" xfId="0" applyFont="1" applyFill="1" applyBorder="1" applyAlignment="1">
      <alignment horizontal="center" vertical="center" wrapText="1"/>
    </xf>
    <xf numFmtId="0" fontId="16" fillId="13" borderId="18" xfId="0" applyFont="1" applyFill="1" applyBorder="1" applyAlignment="1">
      <alignment horizontal="center" vertical="center" wrapText="1"/>
    </xf>
    <xf numFmtId="0" fontId="16" fillId="13" borderId="19" xfId="0" applyFont="1" applyFill="1" applyBorder="1" applyAlignment="1">
      <alignment horizontal="center" vertical="center" wrapText="1"/>
    </xf>
    <xf numFmtId="0" fontId="16" fillId="13" borderId="20" xfId="0" applyFont="1" applyFill="1" applyBorder="1" applyAlignment="1">
      <alignment horizontal="center" vertical="center" wrapText="1"/>
    </xf>
    <xf numFmtId="0" fontId="15" fillId="13" borderId="19" xfId="0" applyFont="1" applyFill="1" applyBorder="1" applyAlignment="1">
      <alignment horizontal="center" vertical="center" wrapText="1"/>
    </xf>
    <xf numFmtId="0" fontId="15" fillId="13" borderId="20" xfId="0" applyFont="1" applyFill="1" applyBorder="1" applyAlignment="1">
      <alignment horizontal="center" vertical="center" wrapText="1"/>
    </xf>
    <xf numFmtId="0" fontId="15" fillId="13" borderId="21" xfId="0" applyFont="1" applyFill="1" applyBorder="1" applyAlignment="1">
      <alignment horizontal="center" vertical="center" wrapText="1"/>
    </xf>
    <xf numFmtId="0" fontId="15" fillId="13" borderId="22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21" fillId="4" borderId="2" xfId="0" applyFont="1" applyFill="1" applyBorder="1"/>
    <xf numFmtId="0" fontId="21" fillId="4" borderId="0" xfId="0" applyFont="1" applyFill="1"/>
    <xf numFmtId="0" fontId="21" fillId="4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2">
    <dxf>
      <alignment horizontal="center"/>
    </dxf>
    <dxf>
      <numFmt numFmtId="34" formatCode="_-&quot;$&quot;* #,##0.00_-;\-&quot;$&quot;* #,##0.00_-;_-&quot;$&quot;* &quot;-&quot;??_-;_-@_-"/>
    </dxf>
  </dxfs>
  <tableStyles count="0" defaultTableStyle="TableStyleMedium9" defaultPivotStyle="PivotStyleLight16"/>
  <colors>
    <mruColors>
      <color rgb="FFDAEFC3"/>
      <color rgb="FF006600"/>
      <color rgb="FFF3FE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99060</xdr:colOff>
      <xdr:row>4</xdr:row>
      <xdr:rowOff>12700</xdr:rowOff>
    </xdr:from>
    <xdr:to>
      <xdr:col>8</xdr:col>
      <xdr:colOff>190500</xdr:colOff>
      <xdr:row>7</xdr:row>
      <xdr:rowOff>19050</xdr:rowOff>
    </xdr:to>
    <xdr:sp macro="[0]!OpenForm" textlink="">
      <xdr:nvSpPr>
        <xdr:cNvPr id="18" name="Bisel 29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2016760" y="908050"/>
          <a:ext cx="1374140" cy="558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New Transacao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273050</xdr:colOff>
          <xdr:row>3</xdr:row>
          <xdr:rowOff>114300</xdr:rowOff>
        </xdr:from>
        <xdr:to>
          <xdr:col>6</xdr:col>
          <xdr:colOff>565150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Nova Transacao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Break" refreshedDate="43534.638073842594" createdVersion="6" refreshedVersion="6" minRefreshableVersion="3" recordCount="32" xr:uid="{04769C3D-F322-4093-9663-4521B9DB41F4}">
  <cacheSource type="worksheet">
    <worksheetSource ref="B10:M58" sheet="Transacoes"/>
  </cacheSource>
  <cacheFields count="12">
    <cacheField name="ID" numFmtId="0">
      <sharedItems containsSemiMixedTypes="0" containsString="0" containsNumber="1" containsInteger="1" minValue="14" maxValue="45"/>
    </cacheField>
    <cacheField name="Date" numFmtId="22">
      <sharedItems containsSemiMixedTypes="0" containsNonDate="0" containsDate="1" containsString="0" minDate="2019-03-05T18:56:34" maxDate="2019-04-08T12:03:05"/>
    </cacheField>
    <cacheField name="Cliente" numFmtId="0">
      <sharedItems count="6">
        <s v="FESTINHA"/>
        <s v="CACHOEIRA"/>
        <s v="BAHIA"/>
        <s v="JK"/>
        <s v="TIA"/>
        <s v="CHICAO"/>
      </sharedItems>
    </cacheField>
    <cacheField name="Tipo Transação" numFmtId="0">
      <sharedItems/>
    </cacheField>
    <cacheField name="Valor USD$" numFmtId="44">
      <sharedItems containsSemiMixedTypes="0" containsString="0" containsNumber="1" containsInteger="1" minValue="1" maxValue="504"/>
    </cacheField>
    <cacheField name="Cotacao" numFmtId="2">
      <sharedItems containsSemiMixedTypes="0" containsString="0" containsNumber="1" minValue="1" maxValue="3.25"/>
    </cacheField>
    <cacheField name="Valor R$" numFmtId="44">
      <sharedItems containsSemiMixedTypes="0" containsString="0" containsNumber="1" minValue="1" maxValue="161280"/>
    </cacheField>
    <cacheField name="Destino Brasil" numFmtId="0">
      <sharedItems containsBlank="1"/>
    </cacheField>
    <cacheField name="Origem US" numFmtId="22">
      <sharedItems count="4">
        <s v="BOFA_BLUE"/>
        <s v="TD_BLUE"/>
        <s v="BOFA_SEVEN"/>
        <s v="TD_SEVEN"/>
      </sharedItems>
    </cacheField>
    <cacheField name="Destino US" numFmtId="0">
      <sharedItems count="6">
        <s v="FESTINHA"/>
        <s v="CACHOEIRA"/>
        <s v="BAHIA"/>
        <s v="JK"/>
        <s v="TIA"/>
        <s v="CHICAO"/>
      </sharedItems>
    </cacheField>
    <cacheField name="PreparedBy" numFmtId="0">
      <sharedItems/>
    </cacheField>
    <cacheField name="Month" numFmtId="0">
      <sharedItems containsSemiMixedTypes="0" containsString="0" containsNumber="1" containsInteger="1" minValue="3" maxValue="4" count="2">
        <n v="3"/>
        <n v="4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n v="45"/>
    <d v="2019-03-09T20:29:26"/>
    <x v="0"/>
    <s v="Venda"/>
    <n v="1"/>
    <n v="1"/>
    <n v="1"/>
    <s v="Itau"/>
    <x v="0"/>
    <x v="0"/>
    <s v="Luiz Break"/>
    <x v="0"/>
  </r>
  <r>
    <n v="14"/>
    <d v="2019-03-05T18:56:34"/>
    <x v="1"/>
    <s v="Compra"/>
    <n v="504"/>
    <n v="3.2"/>
    <n v="161280"/>
    <m/>
    <x v="1"/>
    <x v="1"/>
    <s v="Mickey Mouse"/>
    <x v="0"/>
  </r>
  <r>
    <n v="15"/>
    <d v="2019-03-05T23:23:28"/>
    <x v="2"/>
    <s v="Compra"/>
    <n v="225"/>
    <n v="3.25"/>
    <n v="731.25"/>
    <m/>
    <x v="2"/>
    <x v="2"/>
    <s v="Mickey Mouse"/>
    <x v="0"/>
  </r>
  <r>
    <n v="16"/>
    <d v="2019-03-05T23:27:47"/>
    <x v="3"/>
    <s v="Compra"/>
    <n v="300"/>
    <n v="3.15"/>
    <n v="945"/>
    <s v="BB"/>
    <x v="3"/>
    <x v="3"/>
    <s v="Mickey Mouse"/>
    <x v="0"/>
  </r>
  <r>
    <n v="17"/>
    <d v="2019-03-05T23:54:34"/>
    <x v="3"/>
    <s v="Despesa"/>
    <n v="3"/>
    <n v="3"/>
    <n v="9"/>
    <s v="BB"/>
    <x v="0"/>
    <x v="3"/>
    <s v="Mickey Mouse"/>
    <x v="0"/>
  </r>
  <r>
    <n v="18"/>
    <d v="2019-03-06T14:03:24"/>
    <x v="0"/>
    <s v="Compra"/>
    <n v="400"/>
    <n v="1.2"/>
    <n v="480"/>
    <s v="Bradesco"/>
    <x v="3"/>
    <x v="0"/>
    <s v="Estevo, Luiz"/>
    <x v="0"/>
  </r>
  <r>
    <n v="19"/>
    <d v="2019-03-06T19:58:42"/>
    <x v="3"/>
    <s v="Compra"/>
    <n v="150"/>
    <n v="1.23"/>
    <n v="184"/>
    <s v="Bradesco"/>
    <x v="0"/>
    <x v="3"/>
    <s v="Estevo, Luiz"/>
    <x v="0"/>
  </r>
  <r>
    <n v="20"/>
    <d v="2019-03-07T22:31:06"/>
    <x v="1"/>
    <s v="Compra"/>
    <n v="300"/>
    <n v="1.2"/>
    <n v="360"/>
    <s v="Itau"/>
    <x v="1"/>
    <x v="1"/>
    <s v="Luiz Break"/>
    <x v="0"/>
  </r>
  <r>
    <n v="21"/>
    <d v="2019-03-07T22:33:01"/>
    <x v="1"/>
    <s v="Compra"/>
    <n v="100"/>
    <n v="1.3"/>
    <n v="130"/>
    <s v="Itau"/>
    <x v="1"/>
    <x v="1"/>
    <s v="Luiz Break"/>
    <x v="0"/>
  </r>
  <r>
    <n v="22"/>
    <d v="2019-03-07T22:35:01"/>
    <x v="1"/>
    <s v="Compra"/>
    <n v="100"/>
    <n v="1.4"/>
    <n v="140"/>
    <s v="Itau"/>
    <x v="1"/>
    <x v="1"/>
    <s v="Luiz Break"/>
    <x v="0"/>
  </r>
  <r>
    <n v="23"/>
    <d v="2019-03-07T22:47:05"/>
    <x v="1"/>
    <s v="Compra"/>
    <n v="100"/>
    <n v="1.5"/>
    <n v="150"/>
    <s v="Itau"/>
    <x v="1"/>
    <x v="1"/>
    <s v="Luiz Break"/>
    <x v="0"/>
  </r>
  <r>
    <n v="24"/>
    <d v="2019-04-07T22:49:26"/>
    <x v="1"/>
    <s v="Compra"/>
    <n v="100"/>
    <n v="1.5"/>
    <n v="150"/>
    <s v="Itau"/>
    <x v="1"/>
    <x v="1"/>
    <s v="Luiz Break"/>
    <x v="1"/>
  </r>
  <r>
    <n v="25"/>
    <d v="2019-04-07T22:52:22"/>
    <x v="1"/>
    <s v="Compra"/>
    <n v="100"/>
    <n v="1.5"/>
    <n v="150"/>
    <s v="Itau"/>
    <x v="1"/>
    <x v="1"/>
    <s v="Luiz Break"/>
    <x v="1"/>
  </r>
  <r>
    <n v="26"/>
    <d v="2019-04-07T22:55:01"/>
    <x v="1"/>
    <s v="Compra"/>
    <n v="40"/>
    <n v="1.5"/>
    <n v="60"/>
    <s v="Itau"/>
    <x v="3"/>
    <x v="1"/>
    <s v="Luiz Break"/>
    <x v="1"/>
  </r>
  <r>
    <n v="27"/>
    <d v="2019-03-07T22:58:14"/>
    <x v="1"/>
    <s v="Compra"/>
    <n v="10"/>
    <n v="1.5"/>
    <n v="15"/>
    <s v="Itau"/>
    <x v="3"/>
    <x v="1"/>
    <s v="Luiz Break"/>
    <x v="0"/>
  </r>
  <r>
    <n v="28"/>
    <d v="2019-03-07T23:00:02"/>
    <x v="0"/>
    <s v="Compra"/>
    <n v="10"/>
    <n v="1.5"/>
    <n v="15"/>
    <s v="Itau"/>
    <x v="0"/>
    <x v="0"/>
    <s v="Luiz Break"/>
    <x v="0"/>
  </r>
  <r>
    <n v="29"/>
    <d v="2019-03-07T23:18:16"/>
    <x v="0"/>
    <s v="Compra"/>
    <n v="100"/>
    <n v="1.6"/>
    <n v="160"/>
    <s v="Itau"/>
    <x v="1"/>
    <x v="0"/>
    <s v="Luiz Break"/>
    <x v="0"/>
  </r>
  <r>
    <n v="30"/>
    <d v="2019-03-07T23:23:56"/>
    <x v="0"/>
    <s v="Venda"/>
    <n v="1"/>
    <n v="1"/>
    <n v="1"/>
    <s v="Itau"/>
    <x v="0"/>
    <x v="0"/>
    <s v="Luiz Break"/>
    <x v="0"/>
  </r>
  <r>
    <n v="31"/>
    <d v="2019-03-07T23:27:38"/>
    <x v="1"/>
    <s v="Compra"/>
    <n v="1"/>
    <n v="1"/>
    <n v="1"/>
    <s v="Itau"/>
    <x v="1"/>
    <x v="1"/>
    <s v="Luiz Break"/>
    <x v="0"/>
  </r>
  <r>
    <n v="32"/>
    <d v="2019-03-07T23:36:36"/>
    <x v="1"/>
    <s v="Compra"/>
    <n v="1"/>
    <n v="1"/>
    <n v="1"/>
    <s v="Itau"/>
    <x v="0"/>
    <x v="1"/>
    <s v="Luiz Break"/>
    <x v="0"/>
  </r>
  <r>
    <n v="33"/>
    <d v="2019-03-07T23:38:37"/>
    <x v="4"/>
    <s v="Compra"/>
    <n v="1"/>
    <n v="1"/>
    <n v="1"/>
    <s v="Itau"/>
    <x v="0"/>
    <x v="4"/>
    <s v="Luiz Break"/>
    <x v="0"/>
  </r>
  <r>
    <n v="34"/>
    <d v="2019-03-07T23:39:33"/>
    <x v="1"/>
    <s v="Compra"/>
    <n v="1"/>
    <n v="1"/>
    <n v="1"/>
    <s v="Itau"/>
    <x v="1"/>
    <x v="1"/>
    <s v="Luiz Break"/>
    <x v="0"/>
  </r>
  <r>
    <n v="35"/>
    <d v="2019-03-07T23:44:35"/>
    <x v="4"/>
    <s v="Compra"/>
    <n v="1"/>
    <n v="1"/>
    <n v="1"/>
    <s v="Itau"/>
    <x v="1"/>
    <x v="4"/>
    <s v="Luiz Break"/>
    <x v="0"/>
  </r>
  <r>
    <n v="36"/>
    <d v="2019-03-07T23:45:41"/>
    <x v="4"/>
    <s v="Compra"/>
    <n v="1"/>
    <n v="1"/>
    <n v="1"/>
    <s v="Itau"/>
    <x v="0"/>
    <x v="4"/>
    <s v="Luiz Break"/>
    <x v="0"/>
  </r>
  <r>
    <n v="37"/>
    <d v="2019-03-07T23:51:55"/>
    <x v="1"/>
    <s v="Compra"/>
    <n v="1"/>
    <n v="1"/>
    <n v="1"/>
    <s v="Itau"/>
    <x v="0"/>
    <x v="1"/>
    <s v="Luiz Break"/>
    <x v="0"/>
  </r>
  <r>
    <n v="38"/>
    <d v="2019-04-08T00:09:32"/>
    <x v="0"/>
    <s v="Compra"/>
    <n v="1"/>
    <n v="1"/>
    <n v="1"/>
    <s v="Itau"/>
    <x v="2"/>
    <x v="0"/>
    <s v="Luiz Break"/>
    <x v="1"/>
  </r>
  <r>
    <n v="39"/>
    <d v="2019-04-08T00:12:41"/>
    <x v="4"/>
    <s v="Venda"/>
    <n v="1"/>
    <n v="1"/>
    <n v="1"/>
    <s v="Itau"/>
    <x v="0"/>
    <x v="4"/>
    <s v="Luiz Break"/>
    <x v="1"/>
  </r>
  <r>
    <n v="40"/>
    <d v="2019-04-08T00:30:19"/>
    <x v="5"/>
    <s v="Compra"/>
    <n v="100"/>
    <n v="1.5"/>
    <n v="150"/>
    <s v="Itau"/>
    <x v="1"/>
    <x v="5"/>
    <s v="Luiz Break"/>
    <x v="1"/>
  </r>
  <r>
    <n v="41"/>
    <d v="2019-04-08T00:35:24"/>
    <x v="1"/>
    <s v="Compra"/>
    <n v="100"/>
    <n v="1.5"/>
    <n v="150"/>
    <s v="Itau"/>
    <x v="0"/>
    <x v="1"/>
    <s v="Luiz Break"/>
    <x v="1"/>
  </r>
  <r>
    <n v="42"/>
    <d v="2019-04-08T00:39:04"/>
    <x v="2"/>
    <s v="Compra"/>
    <n v="100"/>
    <n v="1.5"/>
    <n v="150"/>
    <s v="Itau"/>
    <x v="1"/>
    <x v="2"/>
    <s v="Luiz Break"/>
    <x v="1"/>
  </r>
  <r>
    <n v="43"/>
    <d v="2019-04-08T12:01:38"/>
    <x v="1"/>
    <s v="Compra"/>
    <n v="7"/>
    <n v="1"/>
    <n v="7"/>
    <s v="Bradesco"/>
    <x v="1"/>
    <x v="1"/>
    <s v="Luiz Break"/>
    <x v="1"/>
  </r>
  <r>
    <n v="44"/>
    <d v="2019-04-08T12:03:05"/>
    <x v="1"/>
    <s v="Compra"/>
    <n v="10"/>
    <n v="1"/>
    <n v="10"/>
    <s v="Itau"/>
    <x v="1"/>
    <x v="1"/>
    <s v="Luiz Break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CE0D56-777E-452B-808D-FB6C9F9B1B11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D11" firstHeaderRow="1" firstDataRow="2" firstDataCol="1"/>
  <pivotFields count="12">
    <pivotField showAll="0"/>
    <pivotField numFmtId="22" showAll="0"/>
    <pivotField showAll="0">
      <items count="7">
        <item x="2"/>
        <item x="1"/>
        <item x="5"/>
        <item x="0"/>
        <item x="3"/>
        <item x="4"/>
        <item t="default"/>
      </items>
    </pivotField>
    <pivotField showAll="0"/>
    <pivotField numFmtId="44" showAll="0"/>
    <pivotField numFmtId="2" showAll="0"/>
    <pivotField dataField="1" numFmtId="44" showAll="0"/>
    <pivotField showAll="0"/>
    <pivotField showAll="0">
      <items count="5">
        <item x="0"/>
        <item x="2"/>
        <item x="1"/>
        <item x="3"/>
        <item t="default"/>
      </items>
    </pivotField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axis="axisCol" showAll="0">
      <items count="3">
        <item x="0"/>
        <item x="1"/>
        <item t="default"/>
      </items>
    </pivotField>
  </pivotFields>
  <rowFields count="1">
    <field x="9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Sum of Valor R$" fld="6" baseField="0" baseItem="0" numFmtId="44"/>
  </dataFields>
  <formats count="2">
    <format dxfId="1">
      <pivotArea outline="0" collapsedLevelsAreSubtotals="1" fieldPosition="0"/>
    </format>
    <format dxfId="0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P44"/>
  <sheetViews>
    <sheetView showGridLines="0" workbookViewId="0">
      <selection activeCell="B9" sqref="B9:L23"/>
    </sheetView>
  </sheetViews>
  <sheetFormatPr defaultColWidth="0" defaultRowHeight="14.5" zeroHeight="1" x14ac:dyDescent="0.35"/>
  <cols>
    <col min="1" max="1" width="11.54296875" style="41" bestFit="1" customWidth="1"/>
    <col min="2" max="2" width="3.81640625" customWidth="1"/>
    <col min="3" max="5" width="1.81640625" customWidth="1"/>
    <col min="6" max="10" width="9.1796875" customWidth="1"/>
    <col min="11" max="11" width="3.6328125" customWidth="1"/>
    <col min="12" max="12" width="6.90625" customWidth="1"/>
    <col min="13" max="13" width="4.6328125" customWidth="1"/>
    <col min="14" max="14" width="6.81640625" style="51" customWidth="1"/>
    <col min="15" max="16" width="0" hidden="1" customWidth="1"/>
    <col min="17" max="16384" width="9.1796875" hidden="1"/>
  </cols>
  <sheetData>
    <row r="1" spans="1:14" x14ac:dyDescent="0.35">
      <c r="A1" s="40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50"/>
    </row>
    <row r="2" spans="1:14" ht="15" thickBot="1" x14ac:dyDescent="0.4"/>
    <row r="3" spans="1:14" ht="26.5" thickBot="1" x14ac:dyDescent="0.65">
      <c r="B3" s="92" t="s">
        <v>42</v>
      </c>
      <c r="C3" s="93"/>
      <c r="D3" s="93"/>
      <c r="E3" s="93"/>
      <c r="F3" s="93"/>
      <c r="G3" s="93"/>
      <c r="H3" s="93"/>
      <c r="I3" s="93"/>
      <c r="J3" s="93"/>
      <c r="K3" s="93"/>
      <c r="L3" s="94"/>
    </row>
    <row r="4" spans="1:14" x14ac:dyDescent="0.35"/>
    <row r="5" spans="1:14" x14ac:dyDescent="0.35"/>
    <row r="6" spans="1:14" x14ac:dyDescent="0.35"/>
    <row r="7" spans="1:14" x14ac:dyDescent="0.35"/>
    <row r="8" spans="1:14" ht="15" thickBot="1" x14ac:dyDescent="0.4"/>
    <row r="9" spans="1:14" ht="26.5" customHeight="1" thickBot="1" x14ac:dyDescent="0.4">
      <c r="A9" s="99" t="s">
        <v>41</v>
      </c>
      <c r="B9" s="40"/>
      <c r="C9" s="49"/>
      <c r="D9" s="49"/>
      <c r="E9" s="49"/>
      <c r="F9" s="49"/>
      <c r="G9" s="49"/>
      <c r="H9" s="49"/>
      <c r="I9" s="49"/>
      <c r="J9" s="49"/>
      <c r="K9" s="49"/>
      <c r="L9" s="50"/>
    </row>
    <row r="10" spans="1:14" ht="14.5" customHeight="1" x14ac:dyDescent="0.35">
      <c r="A10" s="99"/>
      <c r="B10" s="41"/>
      <c r="F10" s="108" t="str">
        <f>Config!F6</f>
        <v>TD_BLUE</v>
      </c>
      <c r="G10" s="109"/>
      <c r="I10" s="100" t="str">
        <f>Config!F8</f>
        <v>BOFA_SEVEN</v>
      </c>
      <c r="J10" s="101"/>
      <c r="L10" s="51"/>
    </row>
    <row r="11" spans="1:14" ht="14.5" customHeight="1" x14ac:dyDescent="0.35">
      <c r="A11" s="99"/>
      <c r="B11" s="41"/>
      <c r="F11" s="110"/>
      <c r="G11" s="111"/>
      <c r="I11" s="102"/>
      <c r="J11" s="103"/>
      <c r="L11" s="51"/>
    </row>
    <row r="12" spans="1:14" ht="14.5" customHeight="1" x14ac:dyDescent="0.35">
      <c r="A12" s="99"/>
      <c r="B12" s="41"/>
      <c r="F12" s="95">
        <f xml:space="preserve"> Config!G6</f>
        <v>49</v>
      </c>
      <c r="G12" s="112"/>
      <c r="I12" s="104" t="str">
        <f>"$ " &amp; Config!G8</f>
        <v>$ -3031</v>
      </c>
      <c r="J12" s="105"/>
      <c r="L12" s="51"/>
    </row>
    <row r="13" spans="1:14" ht="14.5" customHeight="1" x14ac:dyDescent="0.35">
      <c r="A13" s="99"/>
      <c r="B13" s="41"/>
      <c r="F13" s="113"/>
      <c r="G13" s="112"/>
      <c r="I13" s="104"/>
      <c r="J13" s="105"/>
      <c r="L13" s="51"/>
    </row>
    <row r="14" spans="1:14" ht="15" customHeight="1" thickBot="1" x14ac:dyDescent="0.4">
      <c r="A14" s="99"/>
      <c r="B14" s="41"/>
      <c r="F14" s="114"/>
      <c r="G14" s="115"/>
      <c r="I14" s="106"/>
      <c r="J14" s="107"/>
      <c r="L14" s="51"/>
    </row>
    <row r="15" spans="1:14" ht="3" customHeight="1" x14ac:dyDescent="0.35">
      <c r="A15" s="99"/>
      <c r="B15" s="41"/>
      <c r="L15" s="51"/>
    </row>
    <row r="16" spans="1:14" ht="5.5" customHeight="1" thickBot="1" x14ac:dyDescent="0.4">
      <c r="A16" s="99"/>
      <c r="B16" s="41"/>
      <c r="L16" s="51"/>
    </row>
    <row r="17" spans="1:14" ht="14.5" customHeight="1" x14ac:dyDescent="0.35">
      <c r="A17" s="99"/>
      <c r="B17" s="41"/>
      <c r="F17" s="116" t="str">
        <f>Config!F7</f>
        <v>BOFA_BLUE</v>
      </c>
      <c r="G17" s="117"/>
      <c r="I17" s="108" t="str">
        <f>Config!F9</f>
        <v>TD_SEVEN</v>
      </c>
      <c r="J17" s="109"/>
      <c r="L17" s="51"/>
    </row>
    <row r="18" spans="1:14" ht="14.5" customHeight="1" x14ac:dyDescent="0.35">
      <c r="A18" s="99"/>
      <c r="B18" s="41"/>
      <c r="F18" s="118"/>
      <c r="G18" s="119"/>
      <c r="I18" s="110"/>
      <c r="J18" s="111"/>
      <c r="L18" s="51"/>
    </row>
    <row r="19" spans="1:14" ht="14.5" customHeight="1" x14ac:dyDescent="0.35">
      <c r="A19" s="99"/>
      <c r="B19" s="41"/>
      <c r="F19" s="120" t="str">
        <f>"$ "
&amp; Config!G7</f>
        <v>$ 19052</v>
      </c>
      <c r="G19" s="121"/>
      <c r="I19" s="95" t="str">
        <f>"$ " &amp; Config!G9</f>
        <v>$ 3990</v>
      </c>
      <c r="J19" s="96"/>
      <c r="L19" s="51"/>
    </row>
    <row r="20" spans="1:14" ht="14.5" customHeight="1" x14ac:dyDescent="0.35">
      <c r="A20" s="99"/>
      <c r="B20" s="41"/>
      <c r="F20" s="120"/>
      <c r="G20" s="121"/>
      <c r="I20" s="95"/>
      <c r="J20" s="96"/>
      <c r="L20" s="51"/>
    </row>
    <row r="21" spans="1:14" ht="15" customHeight="1" thickBot="1" x14ac:dyDescent="0.4">
      <c r="A21" s="99"/>
      <c r="B21" s="41"/>
      <c r="F21" s="122"/>
      <c r="G21" s="123"/>
      <c r="I21" s="97"/>
      <c r="J21" s="98"/>
      <c r="L21" s="51"/>
    </row>
    <row r="22" spans="1:14" x14ac:dyDescent="0.35">
      <c r="A22" s="99"/>
      <c r="B22" s="41"/>
      <c r="L22" s="51"/>
    </row>
    <row r="23" spans="1:14" ht="15" thickBot="1" x14ac:dyDescent="0.4">
      <c r="A23" s="99"/>
      <c r="B23" s="42"/>
      <c r="C23" s="53"/>
      <c r="D23" s="53"/>
      <c r="E23" s="53"/>
      <c r="F23" s="53"/>
      <c r="G23" s="53"/>
      <c r="H23" s="53"/>
      <c r="I23" s="53"/>
      <c r="J23" s="53"/>
      <c r="K23" s="53"/>
      <c r="L23" s="54"/>
    </row>
    <row r="24" spans="1:14" x14ac:dyDescent="0.35"/>
    <row r="25" spans="1:14" x14ac:dyDescent="0.35"/>
    <row r="26" spans="1:14" ht="15" thickBot="1" x14ac:dyDescent="0.4">
      <c r="A26" s="42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4"/>
    </row>
    <row r="27" spans="1:14" hidden="1" x14ac:dyDescent="0.35"/>
    <row r="28" spans="1:14" hidden="1" x14ac:dyDescent="0.35"/>
    <row r="29" spans="1:14" hidden="1" x14ac:dyDescent="0.35"/>
    <row r="30" spans="1:14" hidden="1" x14ac:dyDescent="0.35"/>
    <row r="31" spans="1:14" hidden="1" x14ac:dyDescent="0.35"/>
    <row r="32" spans="1:14" hidden="1" x14ac:dyDescent="0.35">
      <c r="M32" s="1"/>
      <c r="N32" s="52"/>
    </row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  <row r="40" hidden="1" x14ac:dyDescent="0.35"/>
    <row r="41" hidden="1" x14ac:dyDescent="0.35"/>
    <row r="42" hidden="1" x14ac:dyDescent="0.35"/>
    <row r="43" hidden="1" x14ac:dyDescent="0.35"/>
    <row r="44" hidden="1" x14ac:dyDescent="0.35"/>
  </sheetData>
  <mergeCells count="10">
    <mergeCell ref="B3:L3"/>
    <mergeCell ref="I19:J21"/>
    <mergeCell ref="A9:A23"/>
    <mergeCell ref="I10:J11"/>
    <mergeCell ref="I12:J14"/>
    <mergeCell ref="I17:J18"/>
    <mergeCell ref="F12:G14"/>
    <mergeCell ref="F17:G18"/>
    <mergeCell ref="F19:G21"/>
    <mergeCell ref="F10:G11"/>
  </mergeCells>
  <pageMargins left="0.511811024" right="0.511811024" top="0.78740157499999996" bottom="0.78740157499999996" header="0.31496062000000002" footer="0.31496062000000002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150"/>
  <sheetViews>
    <sheetView zoomScale="70" zoomScaleNormal="70" workbookViewId="0">
      <selection activeCell="P11" sqref="P11"/>
    </sheetView>
  </sheetViews>
  <sheetFormatPr defaultColWidth="9.1796875" defaultRowHeight="15" customHeight="1" x14ac:dyDescent="0.35"/>
  <cols>
    <col min="1" max="1" width="1.54296875" customWidth="1"/>
    <col min="2" max="2" width="10.81640625" style="27" customWidth="1"/>
    <col min="3" max="3" width="15.90625" style="28" bestFit="1" customWidth="1"/>
    <col min="4" max="4" width="15.81640625" style="29" bestFit="1" customWidth="1"/>
    <col min="5" max="5" width="17.08984375" style="29" customWidth="1"/>
    <col min="6" max="6" width="16" style="29" customWidth="1"/>
    <col min="7" max="7" width="14" style="29" customWidth="1"/>
    <col min="8" max="8" width="17.08984375" style="29" customWidth="1"/>
    <col min="9" max="9" width="19.90625" style="28" customWidth="1"/>
    <col min="10" max="10" width="20.90625" style="29" bestFit="1" customWidth="1"/>
    <col min="11" max="11" width="15.90625" style="29" bestFit="1" customWidth="1"/>
    <col min="12" max="12" width="15.81640625" style="30" bestFit="1" customWidth="1"/>
    <col min="13" max="13" width="6.453125" style="126" bestFit="1" customWidth="1"/>
    <col min="14" max="14" width="10.54296875" style="8" bestFit="1" customWidth="1"/>
    <col min="15" max="15" width="15.81640625" style="8" bestFit="1" customWidth="1"/>
    <col min="16" max="16384" width="9.1796875" style="8"/>
  </cols>
  <sheetData>
    <row r="1" spans="1:13" s="4" customFormat="1" ht="11.25" customHeight="1" x14ac:dyDescent="0.35">
      <c r="A1" s="2"/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125"/>
    </row>
    <row r="2" spans="1:13" ht="15" customHeight="1" x14ac:dyDescent="0.35">
      <c r="A2" s="2"/>
      <c r="B2" s="124" t="s">
        <v>47</v>
      </c>
      <c r="C2" s="124"/>
      <c r="D2" s="5"/>
      <c r="E2" s="6"/>
      <c r="F2" s="6"/>
      <c r="G2" s="6"/>
      <c r="H2" s="6"/>
      <c r="I2" s="7"/>
      <c r="J2" s="6"/>
      <c r="K2" s="6"/>
      <c r="L2" s="60"/>
    </row>
    <row r="3" spans="1:13" ht="15" customHeight="1" x14ac:dyDescent="0.35">
      <c r="A3" s="2"/>
      <c r="B3" s="124"/>
      <c r="C3" s="124"/>
      <c r="D3" s="9"/>
      <c r="E3" s="10"/>
      <c r="F3" s="10"/>
      <c r="G3" s="10"/>
      <c r="H3" s="10"/>
      <c r="I3" s="11"/>
      <c r="J3" s="10"/>
      <c r="K3" s="10"/>
      <c r="L3" s="61"/>
    </row>
    <row r="4" spans="1:13" ht="15" customHeight="1" x14ac:dyDescent="0.35">
      <c r="A4" s="2"/>
      <c r="B4" s="124"/>
      <c r="C4" s="124"/>
      <c r="D4" s="12" t="s">
        <v>15</v>
      </c>
      <c r="E4" s="13">
        <v>43541.944409722222</v>
      </c>
      <c r="F4" s="10"/>
      <c r="G4" s="10"/>
      <c r="H4" s="10"/>
      <c r="I4" s="11"/>
      <c r="J4" s="10"/>
      <c r="K4" s="10"/>
      <c r="L4" s="61"/>
    </row>
    <row r="5" spans="1:13" ht="15" customHeight="1" x14ac:dyDescent="0.35">
      <c r="A5" s="2"/>
      <c r="B5" s="124"/>
      <c r="C5" s="124"/>
      <c r="D5" s="14"/>
      <c r="E5" s="15"/>
      <c r="F5" s="10"/>
      <c r="G5" s="10"/>
      <c r="H5" s="10"/>
      <c r="I5" s="15"/>
      <c r="J5" s="10"/>
      <c r="K5" s="10"/>
      <c r="L5" s="61"/>
    </row>
    <row r="6" spans="1:13" ht="15" customHeight="1" x14ac:dyDescent="0.35">
      <c r="A6" s="2"/>
      <c r="B6" s="124"/>
      <c r="C6" s="124"/>
      <c r="D6" s="12" t="s">
        <v>48</v>
      </c>
      <c r="E6" s="13" t="s">
        <v>56</v>
      </c>
      <c r="F6" s="10"/>
      <c r="G6" s="10"/>
      <c r="H6" s="10"/>
      <c r="I6" s="11"/>
      <c r="J6" s="10"/>
      <c r="K6" s="10"/>
      <c r="L6" s="61"/>
    </row>
    <row r="7" spans="1:13" ht="15" customHeight="1" x14ac:dyDescent="0.35">
      <c r="A7" s="2"/>
      <c r="B7" s="124"/>
      <c r="C7" s="124"/>
      <c r="D7" s="12"/>
      <c r="E7" s="16"/>
      <c r="F7" s="10"/>
      <c r="G7" s="10"/>
      <c r="H7" s="10"/>
      <c r="I7" s="11"/>
      <c r="J7" s="10"/>
      <c r="K7" s="10"/>
      <c r="L7" s="61"/>
    </row>
    <row r="8" spans="1:13" ht="15" customHeight="1" x14ac:dyDescent="0.35">
      <c r="A8" s="2"/>
      <c r="B8" s="124"/>
      <c r="C8" s="124"/>
      <c r="D8" s="17"/>
      <c r="E8" s="18"/>
      <c r="F8" s="18"/>
      <c r="G8" s="18"/>
      <c r="H8" s="18"/>
      <c r="I8" s="19"/>
      <c r="J8" s="18"/>
      <c r="K8" s="18"/>
      <c r="L8" s="62"/>
    </row>
    <row r="9" spans="1:13" ht="9" customHeight="1" x14ac:dyDescent="0.35">
      <c r="A9" s="2"/>
      <c r="B9" s="20"/>
      <c r="C9" s="20"/>
      <c r="D9" s="21"/>
      <c r="E9" s="21"/>
      <c r="F9" s="21"/>
      <c r="G9" s="21"/>
      <c r="H9" s="21"/>
      <c r="I9" s="21"/>
      <c r="J9" s="21"/>
      <c r="K9" s="21"/>
      <c r="L9" s="21"/>
    </row>
    <row r="10" spans="1:13" ht="21.75" customHeight="1" x14ac:dyDescent="0.35">
      <c r="A10" s="22"/>
      <c r="B10" s="33" t="s">
        <v>36</v>
      </c>
      <c r="C10" s="47" t="s">
        <v>39</v>
      </c>
      <c r="D10" s="47" t="s">
        <v>76</v>
      </c>
      <c r="E10" s="47" t="s">
        <v>20</v>
      </c>
      <c r="F10" s="46" t="s">
        <v>40</v>
      </c>
      <c r="G10" s="47" t="s">
        <v>22</v>
      </c>
      <c r="H10" s="47" t="s">
        <v>0</v>
      </c>
      <c r="I10" s="47" t="s">
        <v>75</v>
      </c>
      <c r="J10" s="46" t="s">
        <v>74</v>
      </c>
      <c r="K10" s="46" t="s">
        <v>73</v>
      </c>
      <c r="L10" s="46" t="s">
        <v>35</v>
      </c>
      <c r="M10" s="127" t="s">
        <v>62</v>
      </c>
    </row>
    <row r="11" spans="1:13" ht="14.5" x14ac:dyDescent="0.35">
      <c r="A11" s="22"/>
      <c r="B11" s="48">
        <v>61</v>
      </c>
      <c r="C11" s="38">
        <v>43541.945706018516</v>
      </c>
      <c r="D11" s="24" t="s">
        <v>11</v>
      </c>
      <c r="E11" s="24" t="s">
        <v>44</v>
      </c>
      <c r="F11" s="45">
        <v>49</v>
      </c>
      <c r="G11" s="44">
        <v>1</v>
      </c>
      <c r="H11" s="45">
        <v>49</v>
      </c>
      <c r="I11" s="23" t="s">
        <v>26</v>
      </c>
      <c r="J11" s="32" t="s">
        <v>12</v>
      </c>
      <c r="K11" s="24" t="s">
        <v>11</v>
      </c>
      <c r="L11" s="24" t="s">
        <v>56</v>
      </c>
      <c r="M11" s="127">
        <f t="shared" ref="M11:M26" si="0">MONTH(C11)</f>
        <v>3</v>
      </c>
    </row>
    <row r="12" spans="1:13" ht="14.5" x14ac:dyDescent="0.35">
      <c r="A12" s="22"/>
      <c r="B12" s="48">
        <v>60</v>
      </c>
      <c r="C12" s="38">
        <v>43541.944699074076</v>
      </c>
      <c r="D12" s="24" t="s">
        <v>11</v>
      </c>
      <c r="E12" s="24" t="s">
        <v>34</v>
      </c>
      <c r="F12" s="45">
        <v>49</v>
      </c>
      <c r="G12" s="44">
        <v>1</v>
      </c>
      <c r="H12" s="45">
        <v>49</v>
      </c>
      <c r="I12" s="23" t="s">
        <v>26</v>
      </c>
      <c r="J12" s="32" t="s">
        <v>12</v>
      </c>
      <c r="K12" s="24" t="s">
        <v>11</v>
      </c>
      <c r="L12" s="24" t="s">
        <v>56</v>
      </c>
      <c r="M12" s="127">
        <f t="shared" si="0"/>
        <v>3</v>
      </c>
    </row>
    <row r="13" spans="1:13" ht="14.5" x14ac:dyDescent="0.35">
      <c r="A13" s="22"/>
      <c r="B13" s="48">
        <v>59</v>
      </c>
      <c r="C13" s="38">
        <v>43541.940486111111</v>
      </c>
      <c r="D13" s="24" t="s">
        <v>11</v>
      </c>
      <c r="E13" s="24" t="s">
        <v>44</v>
      </c>
      <c r="F13" s="45">
        <v>49</v>
      </c>
      <c r="G13" s="44">
        <v>1</v>
      </c>
      <c r="H13" s="45">
        <v>49</v>
      </c>
      <c r="I13" s="23" t="s">
        <v>26</v>
      </c>
      <c r="J13" s="32" t="s">
        <v>12</v>
      </c>
      <c r="K13" s="24" t="s">
        <v>11</v>
      </c>
      <c r="L13" s="24" t="s">
        <v>56</v>
      </c>
      <c r="M13" s="127">
        <f t="shared" si="0"/>
        <v>3</v>
      </c>
    </row>
    <row r="14" spans="1:13" ht="14.5" x14ac:dyDescent="0.35">
      <c r="A14" s="22"/>
      <c r="B14" s="48">
        <v>58</v>
      </c>
      <c r="C14" s="38">
        <v>43541.939340277779</v>
      </c>
      <c r="D14" s="24" t="s">
        <v>11</v>
      </c>
      <c r="E14" s="24" t="s">
        <v>44</v>
      </c>
      <c r="F14" s="45">
        <v>51</v>
      </c>
      <c r="G14" s="44">
        <v>1</v>
      </c>
      <c r="H14" s="45">
        <v>51</v>
      </c>
      <c r="I14" s="23" t="s">
        <v>26</v>
      </c>
      <c r="J14" s="32" t="s">
        <v>12</v>
      </c>
      <c r="K14" s="24" t="s">
        <v>11</v>
      </c>
      <c r="L14" s="24" t="s">
        <v>56</v>
      </c>
      <c r="M14" s="127">
        <f t="shared" si="0"/>
        <v>3</v>
      </c>
    </row>
    <row r="15" spans="1:13" ht="14.5" x14ac:dyDescent="0.35">
      <c r="A15" s="22"/>
      <c r="B15" s="48">
        <v>57</v>
      </c>
      <c r="C15" s="38">
        <v>43541.938564814816</v>
      </c>
      <c r="D15" s="24" t="s">
        <v>11</v>
      </c>
      <c r="E15" s="24" t="s">
        <v>34</v>
      </c>
      <c r="F15" s="45">
        <v>50</v>
      </c>
      <c r="G15" s="44">
        <v>1</v>
      </c>
      <c r="H15" s="45">
        <v>50</v>
      </c>
      <c r="I15" s="23" t="s">
        <v>26</v>
      </c>
      <c r="J15" s="32" t="s">
        <v>12</v>
      </c>
      <c r="K15" s="24" t="s">
        <v>11</v>
      </c>
      <c r="L15" s="24" t="s">
        <v>56</v>
      </c>
      <c r="M15" s="127">
        <f t="shared" si="0"/>
        <v>3</v>
      </c>
    </row>
    <row r="16" spans="1:13" ht="14.5" x14ac:dyDescent="0.35">
      <c r="A16" s="22"/>
      <c r="B16" s="48">
        <v>56</v>
      </c>
      <c r="C16" s="38">
        <v>43541.937638888892</v>
      </c>
      <c r="D16" s="24" t="s">
        <v>11</v>
      </c>
      <c r="E16" s="24" t="s">
        <v>34</v>
      </c>
      <c r="F16" s="45">
        <v>50</v>
      </c>
      <c r="G16" s="44">
        <v>1</v>
      </c>
      <c r="H16" s="45">
        <v>50</v>
      </c>
      <c r="I16" s="23" t="s">
        <v>26</v>
      </c>
      <c r="J16" s="32" t="s">
        <v>12</v>
      </c>
      <c r="K16" s="24" t="s">
        <v>11</v>
      </c>
      <c r="L16" s="24" t="s">
        <v>56</v>
      </c>
      <c r="M16" s="127">
        <f t="shared" si="0"/>
        <v>3</v>
      </c>
    </row>
    <row r="17" spans="1:13" ht="14.5" x14ac:dyDescent="0.35">
      <c r="A17" s="22"/>
      <c r="B17" s="48">
        <v>55</v>
      </c>
      <c r="C17" s="38">
        <v>43541.930081018516</v>
      </c>
      <c r="D17" s="24" t="s">
        <v>11</v>
      </c>
      <c r="E17" s="24" t="s">
        <v>44</v>
      </c>
      <c r="F17" s="45">
        <v>50</v>
      </c>
      <c r="G17" s="44">
        <v>1</v>
      </c>
      <c r="H17" s="45">
        <v>50</v>
      </c>
      <c r="I17" s="23" t="s">
        <v>26</v>
      </c>
      <c r="J17" s="32" t="s">
        <v>12</v>
      </c>
      <c r="K17" s="24" t="s">
        <v>11</v>
      </c>
      <c r="L17" s="24" t="s">
        <v>56</v>
      </c>
      <c r="M17" s="127">
        <f t="shared" si="0"/>
        <v>3</v>
      </c>
    </row>
    <row r="18" spans="1:13" ht="14.5" x14ac:dyDescent="0.35">
      <c r="A18" s="22"/>
      <c r="B18" s="48">
        <v>54</v>
      </c>
      <c r="C18" s="38">
        <v>43541.927870370368</v>
      </c>
      <c r="D18" s="24" t="s">
        <v>11</v>
      </c>
      <c r="E18" s="24" t="s">
        <v>34</v>
      </c>
      <c r="F18" s="45">
        <v>50</v>
      </c>
      <c r="G18" s="44">
        <v>1</v>
      </c>
      <c r="H18" s="45">
        <v>50</v>
      </c>
      <c r="I18" s="23" t="s">
        <v>26</v>
      </c>
      <c r="J18" s="32" t="s">
        <v>12</v>
      </c>
      <c r="K18" s="24" t="s">
        <v>11</v>
      </c>
      <c r="L18" s="24" t="s">
        <v>56</v>
      </c>
      <c r="M18" s="127">
        <f t="shared" si="0"/>
        <v>3</v>
      </c>
    </row>
    <row r="19" spans="1:13" ht="14.5" x14ac:dyDescent="0.35">
      <c r="A19" s="22"/>
      <c r="B19" s="48">
        <v>53</v>
      </c>
      <c r="C19" s="38">
        <v>43541.864733796298</v>
      </c>
      <c r="D19" s="24" t="s">
        <v>11</v>
      </c>
      <c r="E19" s="24" t="s">
        <v>44</v>
      </c>
      <c r="F19" s="45">
        <v>50</v>
      </c>
      <c r="G19" s="44">
        <v>1</v>
      </c>
      <c r="H19" s="45">
        <v>50</v>
      </c>
      <c r="I19" s="23" t="s">
        <v>26</v>
      </c>
      <c r="J19" s="32" t="s">
        <v>12</v>
      </c>
      <c r="K19" s="24" t="s">
        <v>11</v>
      </c>
      <c r="L19" s="24" t="s">
        <v>56</v>
      </c>
      <c r="M19" s="127">
        <f t="shared" si="0"/>
        <v>3</v>
      </c>
    </row>
    <row r="20" spans="1:13" ht="14.5" x14ac:dyDescent="0.35">
      <c r="A20" s="22"/>
      <c r="B20" s="48">
        <v>52</v>
      </c>
      <c r="C20" s="38">
        <v>43541.855937499997</v>
      </c>
      <c r="D20" s="24" t="s">
        <v>11</v>
      </c>
      <c r="E20" s="24" t="s">
        <v>34</v>
      </c>
      <c r="F20" s="45">
        <v>50</v>
      </c>
      <c r="G20" s="44">
        <v>1</v>
      </c>
      <c r="H20" s="45">
        <v>50</v>
      </c>
      <c r="I20" s="23" t="s">
        <v>26</v>
      </c>
      <c r="J20" s="32" t="s">
        <v>12</v>
      </c>
      <c r="K20" s="24" t="s">
        <v>11</v>
      </c>
      <c r="L20" s="24" t="s">
        <v>56</v>
      </c>
      <c r="M20" s="127">
        <f t="shared" si="0"/>
        <v>3</v>
      </c>
    </row>
    <row r="21" spans="1:13" ht="14.5" x14ac:dyDescent="0.35">
      <c r="A21" s="22"/>
      <c r="B21" s="48">
        <v>51</v>
      </c>
      <c r="C21" s="38">
        <v>43541.85297453704</v>
      </c>
      <c r="D21" s="24" t="s">
        <v>11</v>
      </c>
      <c r="E21" s="24" t="s">
        <v>34</v>
      </c>
      <c r="F21" s="45">
        <v>50</v>
      </c>
      <c r="G21" s="44">
        <v>1</v>
      </c>
      <c r="H21" s="45">
        <v>50</v>
      </c>
      <c r="I21" s="23" t="s">
        <v>26</v>
      </c>
      <c r="J21" s="32" t="s">
        <v>12</v>
      </c>
      <c r="K21" s="24" t="s">
        <v>11</v>
      </c>
      <c r="L21" s="24" t="s">
        <v>56</v>
      </c>
      <c r="M21" s="127">
        <f t="shared" si="0"/>
        <v>3</v>
      </c>
    </row>
    <row r="22" spans="1:13" ht="14.5" x14ac:dyDescent="0.35">
      <c r="A22" s="22"/>
      <c r="B22" s="48">
        <v>50</v>
      </c>
      <c r="C22" s="38">
        <v>43541.850069444445</v>
      </c>
      <c r="D22" s="24" t="s">
        <v>11</v>
      </c>
      <c r="E22" s="24" t="s">
        <v>34</v>
      </c>
      <c r="F22" s="45">
        <v>50</v>
      </c>
      <c r="G22" s="44">
        <v>1</v>
      </c>
      <c r="H22" s="45">
        <v>50</v>
      </c>
      <c r="I22" s="23" t="s">
        <v>26</v>
      </c>
      <c r="J22" s="32" t="s">
        <v>12</v>
      </c>
      <c r="K22" s="24" t="s">
        <v>11</v>
      </c>
      <c r="L22" s="24" t="s">
        <v>56</v>
      </c>
      <c r="M22" s="127">
        <f t="shared" si="0"/>
        <v>3</v>
      </c>
    </row>
    <row r="23" spans="1:13" ht="14.5" x14ac:dyDescent="0.35">
      <c r="A23" s="22"/>
      <c r="B23" s="48">
        <v>49</v>
      </c>
      <c r="C23" s="38">
        <v>43541.849120370367</v>
      </c>
      <c r="D23" s="24" t="s">
        <v>11</v>
      </c>
      <c r="E23" s="24" t="s">
        <v>34</v>
      </c>
      <c r="F23" s="45">
        <v>50</v>
      </c>
      <c r="G23" s="44">
        <v>1</v>
      </c>
      <c r="H23" s="45">
        <v>50</v>
      </c>
      <c r="I23" s="23" t="s">
        <v>26</v>
      </c>
      <c r="J23" s="32" t="s">
        <v>12</v>
      </c>
      <c r="K23" s="24" t="s">
        <v>11</v>
      </c>
      <c r="L23" s="24" t="s">
        <v>56</v>
      </c>
      <c r="M23" s="127">
        <f t="shared" si="0"/>
        <v>3</v>
      </c>
    </row>
    <row r="24" spans="1:13" ht="14.5" x14ac:dyDescent="0.35">
      <c r="A24" s="22"/>
      <c r="B24" s="48">
        <v>48</v>
      </c>
      <c r="C24" s="38">
        <v>43538.837453703702</v>
      </c>
      <c r="D24" s="24" t="s">
        <v>3</v>
      </c>
      <c r="E24" s="24" t="s">
        <v>44</v>
      </c>
      <c r="F24" s="45">
        <v>390</v>
      </c>
      <c r="G24" s="44">
        <v>1.3</v>
      </c>
      <c r="H24" s="45">
        <v>507</v>
      </c>
      <c r="I24" s="23" t="s">
        <v>26</v>
      </c>
      <c r="J24" s="32" t="s">
        <v>8</v>
      </c>
      <c r="K24" s="24" t="s">
        <v>3</v>
      </c>
      <c r="L24" s="24" t="s">
        <v>56</v>
      </c>
      <c r="M24" s="127">
        <f t="shared" si="0"/>
        <v>3</v>
      </c>
    </row>
    <row r="25" spans="1:13" ht="14.5" x14ac:dyDescent="0.35">
      <c r="A25" s="22"/>
      <c r="B25" s="48">
        <v>47</v>
      </c>
      <c r="C25" s="38">
        <v>43538.837129629632</v>
      </c>
      <c r="D25" s="24" t="s">
        <v>6</v>
      </c>
      <c r="E25" s="24" t="s">
        <v>34</v>
      </c>
      <c r="F25" s="45">
        <v>450</v>
      </c>
      <c r="G25" s="44">
        <v>1.4</v>
      </c>
      <c r="H25" s="45">
        <v>630</v>
      </c>
      <c r="I25" s="23" t="s">
        <v>26</v>
      </c>
      <c r="J25" s="32" t="s">
        <v>8</v>
      </c>
      <c r="K25" s="24" t="s">
        <v>6</v>
      </c>
      <c r="L25" s="24" t="s">
        <v>56</v>
      </c>
      <c r="M25" s="127">
        <f t="shared" si="0"/>
        <v>3</v>
      </c>
    </row>
    <row r="26" spans="1:13" ht="14.5" x14ac:dyDescent="0.35">
      <c r="A26" s="22"/>
      <c r="B26" s="48">
        <v>46</v>
      </c>
      <c r="C26" s="38">
        <v>43538.836111111108</v>
      </c>
      <c r="D26" s="24" t="s">
        <v>3</v>
      </c>
      <c r="E26" s="24" t="s">
        <v>34</v>
      </c>
      <c r="F26" s="45">
        <v>350</v>
      </c>
      <c r="G26" s="44">
        <v>1.8</v>
      </c>
      <c r="H26" s="45">
        <v>630</v>
      </c>
      <c r="I26" s="23" t="s">
        <v>26</v>
      </c>
      <c r="J26" s="32" t="s">
        <v>12</v>
      </c>
      <c r="K26" s="24" t="s">
        <v>3</v>
      </c>
      <c r="L26" s="24" t="s">
        <v>56</v>
      </c>
      <c r="M26" s="127">
        <f t="shared" si="0"/>
        <v>3</v>
      </c>
    </row>
    <row r="27" spans="1:13" ht="14.5" x14ac:dyDescent="0.35">
      <c r="A27" s="22"/>
      <c r="B27" s="48">
        <v>45</v>
      </c>
      <c r="C27" s="38">
        <v>43533.853773148148</v>
      </c>
      <c r="D27" s="24" t="s">
        <v>3</v>
      </c>
      <c r="E27" s="24" t="s">
        <v>44</v>
      </c>
      <c r="F27" s="45">
        <v>1</v>
      </c>
      <c r="G27" s="44">
        <v>1</v>
      </c>
      <c r="H27" s="45">
        <v>1</v>
      </c>
      <c r="I27" s="23" t="s">
        <v>26</v>
      </c>
      <c r="J27" s="32" t="s">
        <v>8</v>
      </c>
      <c r="K27" s="24" t="s">
        <v>3</v>
      </c>
      <c r="L27" s="24" t="s">
        <v>56</v>
      </c>
      <c r="M27" s="127">
        <f>MONTH(C27)</f>
        <v>3</v>
      </c>
    </row>
    <row r="28" spans="1:13" ht="14.5" x14ac:dyDescent="0.35">
      <c r="A28" s="22"/>
      <c r="B28" s="48">
        <v>14</v>
      </c>
      <c r="C28" s="38">
        <v>43529.789282407408</v>
      </c>
      <c r="D28" s="24" t="s">
        <v>11</v>
      </c>
      <c r="E28" s="24" t="s">
        <v>34</v>
      </c>
      <c r="F28" s="45">
        <v>504</v>
      </c>
      <c r="G28" s="44">
        <v>3.2</v>
      </c>
      <c r="H28" s="45">
        <v>161280</v>
      </c>
      <c r="I28" s="23"/>
      <c r="J28" s="32" t="s">
        <v>12</v>
      </c>
      <c r="K28" s="24" t="s">
        <v>11</v>
      </c>
      <c r="L28" s="24" t="s">
        <v>33</v>
      </c>
      <c r="M28" s="127">
        <f t="shared" ref="M28:M58" si="1">MONTH(C28)</f>
        <v>3</v>
      </c>
    </row>
    <row r="29" spans="1:13" ht="14.5" x14ac:dyDescent="0.35">
      <c r="A29" s="22"/>
      <c r="B29" s="48">
        <v>15</v>
      </c>
      <c r="C29" s="38">
        <v>43529.974629629629</v>
      </c>
      <c r="D29" s="24" t="s">
        <v>6</v>
      </c>
      <c r="E29" s="24" t="s">
        <v>34</v>
      </c>
      <c r="F29" s="45">
        <v>225</v>
      </c>
      <c r="G29" s="44">
        <v>3.25</v>
      </c>
      <c r="H29" s="45">
        <v>731.25</v>
      </c>
      <c r="I29" s="23"/>
      <c r="J29" s="32" t="s">
        <v>9</v>
      </c>
      <c r="K29" s="24" t="s">
        <v>6</v>
      </c>
      <c r="L29" s="24" t="s">
        <v>33</v>
      </c>
      <c r="M29" s="127">
        <f t="shared" si="1"/>
        <v>3</v>
      </c>
    </row>
    <row r="30" spans="1:13" ht="14.5" x14ac:dyDescent="0.35">
      <c r="A30" s="22"/>
      <c r="B30" s="48">
        <v>16</v>
      </c>
      <c r="C30" s="38">
        <v>43529.977627314816</v>
      </c>
      <c r="D30" s="24" t="s">
        <v>4</v>
      </c>
      <c r="E30" s="24" t="s">
        <v>34</v>
      </c>
      <c r="F30" s="45">
        <v>300</v>
      </c>
      <c r="G30" s="44">
        <v>3.15</v>
      </c>
      <c r="H30" s="45">
        <v>945</v>
      </c>
      <c r="I30" s="23" t="s">
        <v>43</v>
      </c>
      <c r="J30" s="32" t="s">
        <v>10</v>
      </c>
      <c r="K30" s="24" t="s">
        <v>4</v>
      </c>
      <c r="L30" s="24" t="s">
        <v>33</v>
      </c>
      <c r="M30" s="127">
        <f t="shared" si="1"/>
        <v>3</v>
      </c>
    </row>
    <row r="31" spans="1:13" ht="14.5" x14ac:dyDescent="0.35">
      <c r="A31" s="22"/>
      <c r="B31" s="48">
        <v>17</v>
      </c>
      <c r="C31" s="38">
        <v>43529.99622685185</v>
      </c>
      <c r="D31" s="24" t="s">
        <v>4</v>
      </c>
      <c r="E31" s="24" t="s">
        <v>45</v>
      </c>
      <c r="F31" s="45">
        <v>3</v>
      </c>
      <c r="G31" s="44">
        <v>3</v>
      </c>
      <c r="H31" s="45">
        <v>9</v>
      </c>
      <c r="I31" s="23" t="s">
        <v>43</v>
      </c>
      <c r="J31" s="32" t="s">
        <v>8</v>
      </c>
      <c r="K31" s="24" t="s">
        <v>4</v>
      </c>
      <c r="L31" s="24" t="s">
        <v>33</v>
      </c>
      <c r="M31" s="127">
        <f t="shared" si="1"/>
        <v>3</v>
      </c>
    </row>
    <row r="32" spans="1:13" ht="14.5" x14ac:dyDescent="0.35">
      <c r="A32" s="22"/>
      <c r="B32" s="48">
        <v>18</v>
      </c>
      <c r="C32" s="38">
        <v>43530.585694444446</v>
      </c>
      <c r="D32" s="24" t="s">
        <v>3</v>
      </c>
      <c r="E32" s="24" t="s">
        <v>34</v>
      </c>
      <c r="F32" s="45">
        <v>400</v>
      </c>
      <c r="G32" s="44">
        <v>1.2</v>
      </c>
      <c r="H32" s="45">
        <v>480</v>
      </c>
      <c r="I32" s="23" t="s">
        <v>46</v>
      </c>
      <c r="J32" s="32" t="s">
        <v>10</v>
      </c>
      <c r="K32" s="24" t="s">
        <v>3</v>
      </c>
      <c r="L32" s="24" t="s">
        <v>55</v>
      </c>
      <c r="M32" s="127">
        <f t="shared" si="1"/>
        <v>3</v>
      </c>
    </row>
    <row r="33" spans="1:13" ht="14.5" x14ac:dyDescent="0.35">
      <c r="A33" s="22"/>
      <c r="B33" s="48">
        <v>19</v>
      </c>
      <c r="C33" s="38">
        <v>43530.832430555558</v>
      </c>
      <c r="D33" s="24" t="s">
        <v>4</v>
      </c>
      <c r="E33" s="24" t="s">
        <v>34</v>
      </c>
      <c r="F33" s="45">
        <v>150</v>
      </c>
      <c r="G33" s="44">
        <v>1.23</v>
      </c>
      <c r="H33" s="45">
        <v>184</v>
      </c>
      <c r="I33" s="23" t="s">
        <v>46</v>
      </c>
      <c r="J33" s="32" t="s">
        <v>8</v>
      </c>
      <c r="K33" s="24" t="s">
        <v>4</v>
      </c>
      <c r="L33" s="24" t="s">
        <v>55</v>
      </c>
      <c r="M33" s="127">
        <f t="shared" si="1"/>
        <v>3</v>
      </c>
    </row>
    <row r="34" spans="1:13" ht="14.5" x14ac:dyDescent="0.35">
      <c r="A34" s="22"/>
      <c r="B34" s="48">
        <v>20</v>
      </c>
      <c r="C34" s="38">
        <v>43531.938263888886</v>
      </c>
      <c r="D34" s="24" t="s">
        <v>11</v>
      </c>
      <c r="E34" s="24" t="s">
        <v>34</v>
      </c>
      <c r="F34" s="45">
        <v>300</v>
      </c>
      <c r="G34" s="44">
        <v>1.2</v>
      </c>
      <c r="H34" s="45">
        <v>360</v>
      </c>
      <c r="I34" s="23" t="s">
        <v>26</v>
      </c>
      <c r="J34" s="32" t="s">
        <v>12</v>
      </c>
      <c r="K34" s="24" t="s">
        <v>11</v>
      </c>
      <c r="L34" s="24" t="s">
        <v>56</v>
      </c>
      <c r="M34" s="127">
        <f t="shared" si="1"/>
        <v>3</v>
      </c>
    </row>
    <row r="35" spans="1:13" ht="14.5" x14ac:dyDescent="0.35">
      <c r="A35" s="22"/>
      <c r="B35" s="48">
        <v>21</v>
      </c>
      <c r="C35" s="38">
        <v>43531.93959490741</v>
      </c>
      <c r="D35" s="24" t="s">
        <v>11</v>
      </c>
      <c r="E35" s="24" t="s">
        <v>34</v>
      </c>
      <c r="F35" s="45">
        <v>100</v>
      </c>
      <c r="G35" s="44">
        <v>1.3</v>
      </c>
      <c r="H35" s="45">
        <v>130</v>
      </c>
      <c r="I35" s="23" t="s">
        <v>26</v>
      </c>
      <c r="J35" s="32" t="s">
        <v>12</v>
      </c>
      <c r="K35" s="24" t="s">
        <v>11</v>
      </c>
      <c r="L35" s="24" t="s">
        <v>56</v>
      </c>
      <c r="M35" s="127">
        <f t="shared" si="1"/>
        <v>3</v>
      </c>
    </row>
    <row r="36" spans="1:13" ht="14.5" x14ac:dyDescent="0.35">
      <c r="A36" s="22"/>
      <c r="B36" s="48">
        <v>22</v>
      </c>
      <c r="C36" s="38">
        <v>43531.940983796296</v>
      </c>
      <c r="D36" s="24" t="s">
        <v>11</v>
      </c>
      <c r="E36" s="24" t="s">
        <v>34</v>
      </c>
      <c r="F36" s="45">
        <v>100</v>
      </c>
      <c r="G36" s="44">
        <v>1.4</v>
      </c>
      <c r="H36" s="45">
        <v>140</v>
      </c>
      <c r="I36" s="23" t="s">
        <v>26</v>
      </c>
      <c r="J36" s="32" t="s">
        <v>12</v>
      </c>
      <c r="K36" s="24" t="s">
        <v>11</v>
      </c>
      <c r="L36" s="24" t="s">
        <v>56</v>
      </c>
      <c r="M36" s="127">
        <f t="shared" si="1"/>
        <v>3</v>
      </c>
    </row>
    <row r="37" spans="1:13" ht="14.5" x14ac:dyDescent="0.35">
      <c r="A37" s="22"/>
      <c r="B37" s="48">
        <v>23</v>
      </c>
      <c r="C37" s="38">
        <v>43531.949363425927</v>
      </c>
      <c r="D37" s="24" t="s">
        <v>11</v>
      </c>
      <c r="E37" s="24" t="s">
        <v>34</v>
      </c>
      <c r="F37" s="45">
        <v>100</v>
      </c>
      <c r="G37" s="44">
        <v>1.5</v>
      </c>
      <c r="H37" s="45">
        <v>150</v>
      </c>
      <c r="I37" s="23" t="s">
        <v>26</v>
      </c>
      <c r="J37" s="32" t="s">
        <v>12</v>
      </c>
      <c r="K37" s="24" t="s">
        <v>11</v>
      </c>
      <c r="L37" s="24" t="s">
        <v>56</v>
      </c>
      <c r="M37" s="127">
        <f t="shared" si="1"/>
        <v>3</v>
      </c>
    </row>
    <row r="38" spans="1:13" ht="14.5" x14ac:dyDescent="0.35">
      <c r="A38" s="22"/>
      <c r="B38" s="48">
        <v>24</v>
      </c>
      <c r="C38" s="38">
        <v>43562.950995370367</v>
      </c>
      <c r="D38" s="24" t="s">
        <v>11</v>
      </c>
      <c r="E38" s="24" t="s">
        <v>34</v>
      </c>
      <c r="F38" s="45">
        <v>100</v>
      </c>
      <c r="G38" s="44">
        <v>1.5</v>
      </c>
      <c r="H38" s="45">
        <v>150</v>
      </c>
      <c r="I38" s="23" t="s">
        <v>26</v>
      </c>
      <c r="J38" s="32" t="s">
        <v>12</v>
      </c>
      <c r="K38" s="24" t="s">
        <v>11</v>
      </c>
      <c r="L38" s="24" t="s">
        <v>56</v>
      </c>
      <c r="M38" s="127">
        <f t="shared" si="1"/>
        <v>4</v>
      </c>
    </row>
    <row r="39" spans="1:13" ht="14.5" x14ac:dyDescent="0.35">
      <c r="A39" s="22"/>
      <c r="B39" s="48">
        <v>25</v>
      </c>
      <c r="C39" s="38">
        <v>43562.953032407408</v>
      </c>
      <c r="D39" s="24" t="s">
        <v>11</v>
      </c>
      <c r="E39" s="24" t="s">
        <v>34</v>
      </c>
      <c r="F39" s="45">
        <v>100</v>
      </c>
      <c r="G39" s="44">
        <v>1.5</v>
      </c>
      <c r="H39" s="45">
        <v>150</v>
      </c>
      <c r="I39" s="23" t="s">
        <v>26</v>
      </c>
      <c r="J39" s="32" t="s">
        <v>12</v>
      </c>
      <c r="K39" s="24" t="s">
        <v>11</v>
      </c>
      <c r="L39" s="24" t="s">
        <v>56</v>
      </c>
      <c r="M39" s="127">
        <f t="shared" si="1"/>
        <v>4</v>
      </c>
    </row>
    <row r="40" spans="1:13" ht="15" customHeight="1" x14ac:dyDescent="0.35">
      <c r="A40" s="22"/>
      <c r="B40" s="48">
        <v>26</v>
      </c>
      <c r="C40" s="38">
        <v>43562.954872685186</v>
      </c>
      <c r="D40" s="24" t="s">
        <v>11</v>
      </c>
      <c r="E40" s="24" t="s">
        <v>34</v>
      </c>
      <c r="F40" s="45">
        <v>40</v>
      </c>
      <c r="G40" s="44">
        <v>1.5</v>
      </c>
      <c r="H40" s="45">
        <v>60</v>
      </c>
      <c r="I40" s="23" t="s">
        <v>26</v>
      </c>
      <c r="J40" s="32" t="s">
        <v>10</v>
      </c>
      <c r="K40" s="24" t="s">
        <v>11</v>
      </c>
      <c r="L40" s="24" t="s">
        <v>56</v>
      </c>
      <c r="M40" s="127">
        <f t="shared" si="1"/>
        <v>4</v>
      </c>
    </row>
    <row r="41" spans="1:13" ht="14.5" x14ac:dyDescent="0.35">
      <c r="A41" s="22"/>
      <c r="B41" s="48">
        <v>27</v>
      </c>
      <c r="C41" s="38">
        <v>43531.957106481481</v>
      </c>
      <c r="D41" s="24" t="s">
        <v>11</v>
      </c>
      <c r="E41" s="24" t="s">
        <v>34</v>
      </c>
      <c r="F41" s="45">
        <v>10</v>
      </c>
      <c r="G41" s="44">
        <v>1.5</v>
      </c>
      <c r="H41" s="45">
        <v>15</v>
      </c>
      <c r="I41" s="23" t="s">
        <v>26</v>
      </c>
      <c r="J41" s="32" t="s">
        <v>10</v>
      </c>
      <c r="K41" s="24" t="s">
        <v>11</v>
      </c>
      <c r="L41" s="24" t="s">
        <v>56</v>
      </c>
      <c r="M41" s="127">
        <f t="shared" si="1"/>
        <v>3</v>
      </c>
    </row>
    <row r="42" spans="1:13" ht="15" customHeight="1" x14ac:dyDescent="0.35">
      <c r="A42" s="22"/>
      <c r="B42" s="48">
        <v>28</v>
      </c>
      <c r="C42" s="38">
        <v>43531.958356481482</v>
      </c>
      <c r="D42" s="24" t="s">
        <v>3</v>
      </c>
      <c r="E42" s="24" t="s">
        <v>34</v>
      </c>
      <c r="F42" s="45">
        <v>10</v>
      </c>
      <c r="G42" s="44">
        <v>1.5</v>
      </c>
      <c r="H42" s="45">
        <v>15</v>
      </c>
      <c r="I42" s="23" t="s">
        <v>26</v>
      </c>
      <c r="J42" s="32" t="s">
        <v>8</v>
      </c>
      <c r="K42" s="24" t="s">
        <v>3</v>
      </c>
      <c r="L42" s="24" t="s">
        <v>56</v>
      </c>
      <c r="M42" s="127">
        <f t="shared" si="1"/>
        <v>3</v>
      </c>
    </row>
    <row r="43" spans="1:13" ht="14.5" x14ac:dyDescent="0.35">
      <c r="A43" s="22"/>
      <c r="B43" s="48">
        <v>29</v>
      </c>
      <c r="C43" s="38">
        <v>43531.971018518518</v>
      </c>
      <c r="D43" s="24" t="s">
        <v>3</v>
      </c>
      <c r="E43" s="24" t="s">
        <v>34</v>
      </c>
      <c r="F43" s="45">
        <v>100</v>
      </c>
      <c r="G43" s="44">
        <v>1.6</v>
      </c>
      <c r="H43" s="45">
        <v>160</v>
      </c>
      <c r="I43" s="23" t="s">
        <v>26</v>
      </c>
      <c r="J43" s="32" t="s">
        <v>12</v>
      </c>
      <c r="K43" s="24" t="s">
        <v>3</v>
      </c>
      <c r="L43" s="24" t="s">
        <v>56</v>
      </c>
      <c r="M43" s="127">
        <f t="shared" si="1"/>
        <v>3</v>
      </c>
    </row>
    <row r="44" spans="1:13" ht="15" customHeight="1" x14ac:dyDescent="0.35">
      <c r="A44" s="22"/>
      <c r="B44" s="48">
        <v>30</v>
      </c>
      <c r="C44" s="38">
        <v>43531.974953703706</v>
      </c>
      <c r="D44" s="24" t="s">
        <v>3</v>
      </c>
      <c r="E44" s="24" t="s">
        <v>44</v>
      </c>
      <c r="F44" s="45">
        <v>1</v>
      </c>
      <c r="G44" s="44">
        <v>1</v>
      </c>
      <c r="H44" s="45">
        <v>1</v>
      </c>
      <c r="I44" s="23" t="s">
        <v>26</v>
      </c>
      <c r="J44" s="32" t="s">
        <v>8</v>
      </c>
      <c r="K44" s="24" t="s">
        <v>3</v>
      </c>
      <c r="L44" s="24" t="s">
        <v>56</v>
      </c>
      <c r="M44" s="127">
        <f t="shared" si="1"/>
        <v>3</v>
      </c>
    </row>
    <row r="45" spans="1:13" ht="15" customHeight="1" x14ac:dyDescent="0.35">
      <c r="A45" s="22"/>
      <c r="B45" s="48">
        <v>31</v>
      </c>
      <c r="C45" s="38">
        <v>43531.977523148147</v>
      </c>
      <c r="D45" s="24" t="s">
        <v>11</v>
      </c>
      <c r="E45" s="24" t="s">
        <v>34</v>
      </c>
      <c r="F45" s="45">
        <v>1</v>
      </c>
      <c r="G45" s="44">
        <v>1</v>
      </c>
      <c r="H45" s="45">
        <v>1</v>
      </c>
      <c r="I45" s="23" t="s">
        <v>26</v>
      </c>
      <c r="J45" s="32" t="s">
        <v>12</v>
      </c>
      <c r="K45" s="24" t="s">
        <v>11</v>
      </c>
      <c r="L45" s="24" t="s">
        <v>56</v>
      </c>
      <c r="M45" s="127">
        <f t="shared" si="1"/>
        <v>3</v>
      </c>
    </row>
    <row r="46" spans="1:13" ht="15" customHeight="1" x14ac:dyDescent="0.35">
      <c r="A46" s="22"/>
      <c r="B46" s="48">
        <v>32</v>
      </c>
      <c r="C46" s="38">
        <v>43531.983749999999</v>
      </c>
      <c r="D46" s="24" t="s">
        <v>11</v>
      </c>
      <c r="E46" s="24" t="s">
        <v>34</v>
      </c>
      <c r="F46" s="45">
        <v>1</v>
      </c>
      <c r="G46" s="44">
        <v>1</v>
      </c>
      <c r="H46" s="45">
        <v>1</v>
      </c>
      <c r="I46" s="23" t="s">
        <v>26</v>
      </c>
      <c r="J46" s="32" t="s">
        <v>8</v>
      </c>
      <c r="K46" s="24" t="s">
        <v>11</v>
      </c>
      <c r="L46" s="24" t="s">
        <v>56</v>
      </c>
      <c r="M46" s="127">
        <f t="shared" si="1"/>
        <v>3</v>
      </c>
    </row>
    <row r="47" spans="1:13" ht="15" customHeight="1" x14ac:dyDescent="0.35">
      <c r="A47" s="22"/>
      <c r="B47" s="48">
        <v>33</v>
      </c>
      <c r="C47" s="38">
        <v>43531.985150462962</v>
      </c>
      <c r="D47" s="24" t="s">
        <v>2</v>
      </c>
      <c r="E47" s="24" t="s">
        <v>34</v>
      </c>
      <c r="F47" s="45">
        <v>1</v>
      </c>
      <c r="G47" s="44">
        <v>1</v>
      </c>
      <c r="H47" s="45">
        <v>1</v>
      </c>
      <c r="I47" s="23" t="s">
        <v>26</v>
      </c>
      <c r="J47" s="32" t="s">
        <v>8</v>
      </c>
      <c r="K47" s="24" t="s">
        <v>2</v>
      </c>
      <c r="L47" s="24" t="s">
        <v>56</v>
      </c>
      <c r="M47" s="127">
        <f t="shared" si="1"/>
        <v>3</v>
      </c>
    </row>
    <row r="48" spans="1:13" ht="15" customHeight="1" x14ac:dyDescent="0.35">
      <c r="A48" s="22"/>
      <c r="B48" s="48">
        <v>34</v>
      </c>
      <c r="C48" s="38">
        <v>43531.985798611109</v>
      </c>
      <c r="D48" s="24" t="s">
        <v>11</v>
      </c>
      <c r="E48" s="24" t="s">
        <v>34</v>
      </c>
      <c r="F48" s="45">
        <v>1</v>
      </c>
      <c r="G48" s="44">
        <v>1</v>
      </c>
      <c r="H48" s="45">
        <v>1</v>
      </c>
      <c r="I48" s="23" t="s">
        <v>26</v>
      </c>
      <c r="J48" s="32" t="s">
        <v>12</v>
      </c>
      <c r="K48" s="24" t="s">
        <v>11</v>
      </c>
      <c r="L48" s="24" t="s">
        <v>56</v>
      </c>
      <c r="M48" s="127">
        <f t="shared" si="1"/>
        <v>3</v>
      </c>
    </row>
    <row r="49" spans="1:13" ht="15" customHeight="1" x14ac:dyDescent="0.35">
      <c r="A49" s="22"/>
      <c r="B49" s="48">
        <v>35</v>
      </c>
      <c r="C49" s="38">
        <v>43531.989293981482</v>
      </c>
      <c r="D49" s="24" t="s">
        <v>2</v>
      </c>
      <c r="E49" s="24" t="s">
        <v>34</v>
      </c>
      <c r="F49" s="45">
        <v>1</v>
      </c>
      <c r="G49" s="44">
        <v>1</v>
      </c>
      <c r="H49" s="45">
        <v>1</v>
      </c>
      <c r="I49" s="23" t="s">
        <v>26</v>
      </c>
      <c r="J49" s="32" t="s">
        <v>12</v>
      </c>
      <c r="K49" s="24" t="s">
        <v>2</v>
      </c>
      <c r="L49" s="24" t="s">
        <v>56</v>
      </c>
      <c r="M49" s="127">
        <f t="shared" si="1"/>
        <v>3</v>
      </c>
    </row>
    <row r="50" spans="1:13" ht="15" customHeight="1" x14ac:dyDescent="0.35">
      <c r="A50" s="22"/>
      <c r="B50" s="48">
        <v>36</v>
      </c>
      <c r="C50" s="38">
        <v>43531.990057870367</v>
      </c>
      <c r="D50" s="24" t="s">
        <v>2</v>
      </c>
      <c r="E50" s="24" t="s">
        <v>34</v>
      </c>
      <c r="F50" s="45">
        <v>1</v>
      </c>
      <c r="G50" s="44">
        <v>1</v>
      </c>
      <c r="H50" s="45">
        <v>1</v>
      </c>
      <c r="I50" s="23" t="s">
        <v>26</v>
      </c>
      <c r="J50" s="32" t="s">
        <v>8</v>
      </c>
      <c r="K50" s="24" t="s">
        <v>2</v>
      </c>
      <c r="L50" s="24" t="s">
        <v>56</v>
      </c>
      <c r="M50" s="127">
        <f t="shared" si="1"/>
        <v>3</v>
      </c>
    </row>
    <row r="51" spans="1:13" ht="15" customHeight="1" x14ac:dyDescent="0.35">
      <c r="A51" s="22"/>
      <c r="B51" s="48">
        <v>37</v>
      </c>
      <c r="C51" s="38">
        <v>43531.994386574072</v>
      </c>
      <c r="D51" s="24" t="s">
        <v>11</v>
      </c>
      <c r="E51" s="24" t="s">
        <v>34</v>
      </c>
      <c r="F51" s="45">
        <v>1</v>
      </c>
      <c r="G51" s="44">
        <v>1</v>
      </c>
      <c r="H51" s="45">
        <v>1</v>
      </c>
      <c r="I51" s="23" t="s">
        <v>26</v>
      </c>
      <c r="J51" s="32" t="s">
        <v>8</v>
      </c>
      <c r="K51" s="24" t="s">
        <v>11</v>
      </c>
      <c r="L51" s="24" t="s">
        <v>56</v>
      </c>
      <c r="M51" s="127">
        <f t="shared" si="1"/>
        <v>3</v>
      </c>
    </row>
    <row r="52" spans="1:13" ht="15" customHeight="1" x14ac:dyDescent="0.35">
      <c r="A52" s="22"/>
      <c r="B52" s="48">
        <v>38</v>
      </c>
      <c r="C52" s="38">
        <v>43563.006620370368</v>
      </c>
      <c r="D52" s="24" t="s">
        <v>3</v>
      </c>
      <c r="E52" s="24" t="s">
        <v>34</v>
      </c>
      <c r="F52" s="45">
        <v>1</v>
      </c>
      <c r="G52" s="44">
        <v>1</v>
      </c>
      <c r="H52" s="45">
        <v>1</v>
      </c>
      <c r="I52" s="23" t="s">
        <v>26</v>
      </c>
      <c r="J52" s="32" t="s">
        <v>9</v>
      </c>
      <c r="K52" s="24" t="s">
        <v>3</v>
      </c>
      <c r="L52" s="24" t="s">
        <v>56</v>
      </c>
      <c r="M52" s="127">
        <f t="shared" si="1"/>
        <v>4</v>
      </c>
    </row>
    <row r="53" spans="1:13" ht="15" customHeight="1" x14ac:dyDescent="0.35">
      <c r="A53" s="22"/>
      <c r="B53" s="48">
        <v>39</v>
      </c>
      <c r="C53" s="38">
        <v>43563.00880787037</v>
      </c>
      <c r="D53" s="24" t="s">
        <v>2</v>
      </c>
      <c r="E53" s="24" t="s">
        <v>44</v>
      </c>
      <c r="F53" s="45">
        <v>1</v>
      </c>
      <c r="G53" s="44">
        <v>1</v>
      </c>
      <c r="H53" s="45">
        <v>1</v>
      </c>
      <c r="I53" s="23" t="s">
        <v>26</v>
      </c>
      <c r="J53" s="32" t="s">
        <v>8</v>
      </c>
      <c r="K53" s="24" t="s">
        <v>2</v>
      </c>
      <c r="L53" s="24" t="s">
        <v>56</v>
      </c>
      <c r="M53" s="127">
        <f t="shared" si="1"/>
        <v>4</v>
      </c>
    </row>
    <row r="54" spans="1:13" ht="15" customHeight="1" x14ac:dyDescent="0.35">
      <c r="A54" s="22"/>
      <c r="B54" s="48">
        <v>40</v>
      </c>
      <c r="C54" s="38">
        <v>43563.021053240744</v>
      </c>
      <c r="D54" s="24" t="s">
        <v>7</v>
      </c>
      <c r="E54" s="24" t="s">
        <v>34</v>
      </c>
      <c r="F54" s="45">
        <v>100</v>
      </c>
      <c r="G54" s="44">
        <v>1.5</v>
      </c>
      <c r="H54" s="45">
        <v>150</v>
      </c>
      <c r="I54" s="23" t="s">
        <v>26</v>
      </c>
      <c r="J54" s="32" t="s">
        <v>12</v>
      </c>
      <c r="K54" s="24" t="s">
        <v>7</v>
      </c>
      <c r="L54" s="24" t="s">
        <v>56</v>
      </c>
      <c r="M54" s="127">
        <f t="shared" si="1"/>
        <v>4</v>
      </c>
    </row>
    <row r="55" spans="1:13" ht="15" customHeight="1" x14ac:dyDescent="0.35">
      <c r="A55" s="22"/>
      <c r="B55" s="48">
        <v>41</v>
      </c>
      <c r="C55" s="38">
        <v>43563.024583333332</v>
      </c>
      <c r="D55" s="24" t="s">
        <v>11</v>
      </c>
      <c r="E55" s="24" t="s">
        <v>34</v>
      </c>
      <c r="F55" s="45">
        <v>100</v>
      </c>
      <c r="G55" s="44">
        <v>1.5</v>
      </c>
      <c r="H55" s="45">
        <v>150</v>
      </c>
      <c r="I55" s="23" t="s">
        <v>26</v>
      </c>
      <c r="J55" s="32" t="s">
        <v>8</v>
      </c>
      <c r="K55" s="24" t="s">
        <v>11</v>
      </c>
      <c r="L55" s="24" t="s">
        <v>56</v>
      </c>
      <c r="M55" s="127">
        <f t="shared" si="1"/>
        <v>4</v>
      </c>
    </row>
    <row r="56" spans="1:13" ht="15" customHeight="1" x14ac:dyDescent="0.35">
      <c r="A56" s="22"/>
      <c r="B56" s="48">
        <v>42</v>
      </c>
      <c r="C56" s="38">
        <v>43563.027129629627</v>
      </c>
      <c r="D56" s="24" t="s">
        <v>6</v>
      </c>
      <c r="E56" s="24" t="s">
        <v>34</v>
      </c>
      <c r="F56" s="45">
        <v>100</v>
      </c>
      <c r="G56" s="44">
        <v>1.5</v>
      </c>
      <c r="H56" s="45">
        <v>150</v>
      </c>
      <c r="I56" s="23" t="s">
        <v>26</v>
      </c>
      <c r="J56" s="32" t="s">
        <v>12</v>
      </c>
      <c r="K56" s="24" t="s">
        <v>6</v>
      </c>
      <c r="L56" s="24" t="s">
        <v>56</v>
      </c>
      <c r="M56" s="127">
        <f t="shared" si="1"/>
        <v>4</v>
      </c>
    </row>
    <row r="57" spans="1:13" ht="15" customHeight="1" x14ac:dyDescent="0.35">
      <c r="A57" s="22"/>
      <c r="B57" s="48">
        <v>43</v>
      </c>
      <c r="C57" s="38">
        <v>43563.501134259262</v>
      </c>
      <c r="D57" s="24" t="s">
        <v>11</v>
      </c>
      <c r="E57" s="24" t="s">
        <v>34</v>
      </c>
      <c r="F57" s="45">
        <v>7</v>
      </c>
      <c r="G57" s="44">
        <v>1</v>
      </c>
      <c r="H57" s="45">
        <v>7</v>
      </c>
      <c r="I57" s="23" t="s">
        <v>46</v>
      </c>
      <c r="J57" s="32" t="s">
        <v>12</v>
      </c>
      <c r="K57" s="24" t="s">
        <v>11</v>
      </c>
      <c r="L57" s="24" t="s">
        <v>56</v>
      </c>
      <c r="M57" s="127">
        <f t="shared" si="1"/>
        <v>4</v>
      </c>
    </row>
    <row r="58" spans="1:13" ht="15" customHeight="1" x14ac:dyDescent="0.35">
      <c r="A58" s="22"/>
      <c r="B58" s="48">
        <v>44</v>
      </c>
      <c r="C58" s="38">
        <v>43563.502141203702</v>
      </c>
      <c r="D58" s="24" t="s">
        <v>11</v>
      </c>
      <c r="E58" s="24" t="s">
        <v>34</v>
      </c>
      <c r="F58" s="45">
        <v>10</v>
      </c>
      <c r="G58" s="44">
        <v>1</v>
      </c>
      <c r="H58" s="45">
        <v>10</v>
      </c>
      <c r="I58" s="23" t="s">
        <v>26</v>
      </c>
      <c r="J58" s="32" t="s">
        <v>12</v>
      </c>
      <c r="K58" s="24" t="s">
        <v>11</v>
      </c>
      <c r="L58" s="24" t="s">
        <v>56</v>
      </c>
      <c r="M58" s="127">
        <f t="shared" si="1"/>
        <v>4</v>
      </c>
    </row>
    <row r="59" spans="1:13" ht="15" customHeight="1" x14ac:dyDescent="0.35">
      <c r="A59" s="22"/>
      <c r="B59" s="48"/>
      <c r="C59" s="38"/>
      <c r="D59" s="24"/>
      <c r="E59" s="24"/>
      <c r="F59" s="45"/>
      <c r="G59" s="44"/>
      <c r="H59" s="45"/>
      <c r="I59" s="23"/>
      <c r="J59" s="32"/>
      <c r="K59" s="24"/>
      <c r="L59" s="24"/>
    </row>
    <row r="60" spans="1:13" ht="15" customHeight="1" x14ac:dyDescent="0.35">
      <c r="A60" s="22"/>
      <c r="B60" s="48"/>
      <c r="C60" s="38"/>
      <c r="D60" s="24"/>
      <c r="E60" s="24"/>
      <c r="F60" s="45"/>
      <c r="G60" s="44"/>
      <c r="H60" s="45"/>
      <c r="I60" s="23"/>
      <c r="J60" s="32"/>
      <c r="K60" s="24"/>
      <c r="L60" s="24"/>
    </row>
    <row r="61" spans="1:13" ht="15" customHeight="1" x14ac:dyDescent="0.35">
      <c r="A61" s="22"/>
      <c r="B61" s="48"/>
      <c r="C61" s="38"/>
      <c r="D61" s="24"/>
      <c r="E61" s="24"/>
      <c r="F61" s="45"/>
      <c r="G61" s="44"/>
      <c r="H61" s="45"/>
      <c r="I61" s="23"/>
      <c r="J61" s="32"/>
      <c r="K61" s="24"/>
      <c r="L61" s="24"/>
    </row>
    <row r="62" spans="1:13" ht="15" customHeight="1" x14ac:dyDescent="0.35">
      <c r="A62" s="22"/>
      <c r="B62" s="48"/>
      <c r="C62" s="38"/>
      <c r="D62" s="24"/>
      <c r="E62" s="24"/>
      <c r="F62" s="45"/>
      <c r="G62" s="44"/>
      <c r="H62" s="45"/>
      <c r="I62" s="23"/>
      <c r="J62" s="32"/>
      <c r="K62" s="24"/>
      <c r="L62" s="24"/>
    </row>
    <row r="63" spans="1:13" ht="15" customHeight="1" x14ac:dyDescent="0.35">
      <c r="A63" s="22"/>
      <c r="B63" s="48"/>
      <c r="C63" s="38"/>
      <c r="D63" s="24"/>
      <c r="E63" s="24"/>
      <c r="F63" s="45"/>
      <c r="G63" s="44"/>
      <c r="H63" s="45"/>
      <c r="I63" s="23"/>
      <c r="J63" s="32"/>
      <c r="K63" s="24"/>
      <c r="L63" s="24"/>
    </row>
    <row r="64" spans="1:13" ht="15" customHeight="1" x14ac:dyDescent="0.35">
      <c r="A64" s="22"/>
      <c r="B64" s="48"/>
      <c r="C64" s="38"/>
      <c r="D64" s="24"/>
      <c r="E64" s="24"/>
      <c r="F64" s="45"/>
      <c r="G64" s="44"/>
      <c r="H64" s="45"/>
      <c r="I64" s="23"/>
      <c r="J64" s="32"/>
      <c r="K64" s="24"/>
      <c r="L64" s="24"/>
    </row>
    <row r="65" spans="1:12" ht="15" customHeight="1" x14ac:dyDescent="0.35">
      <c r="A65" s="22"/>
      <c r="B65" s="48"/>
      <c r="C65" s="38"/>
      <c r="D65" s="24"/>
      <c r="E65" s="24"/>
      <c r="F65" s="45"/>
      <c r="G65" s="44"/>
      <c r="H65" s="45"/>
      <c r="I65" s="23"/>
      <c r="J65" s="32"/>
      <c r="K65" s="24"/>
      <c r="L65" s="24"/>
    </row>
    <row r="66" spans="1:12" ht="15" customHeight="1" x14ac:dyDescent="0.35">
      <c r="A66" s="22"/>
      <c r="B66" s="48"/>
      <c r="C66" s="38"/>
      <c r="D66" s="24"/>
      <c r="E66" s="24"/>
      <c r="F66" s="45"/>
      <c r="G66" s="44"/>
      <c r="H66" s="45"/>
      <c r="I66" s="23"/>
      <c r="J66" s="32"/>
      <c r="K66" s="24"/>
      <c r="L66" s="24"/>
    </row>
    <row r="67" spans="1:12" ht="15" customHeight="1" x14ac:dyDescent="0.35">
      <c r="A67" s="22"/>
      <c r="B67" s="48"/>
      <c r="C67" s="38"/>
      <c r="D67" s="24"/>
      <c r="E67" s="24"/>
      <c r="F67" s="45"/>
      <c r="G67" s="44"/>
      <c r="H67" s="45"/>
      <c r="I67" s="23"/>
      <c r="J67" s="32"/>
      <c r="K67" s="24"/>
      <c r="L67" s="24"/>
    </row>
    <row r="68" spans="1:12" ht="15" customHeight="1" x14ac:dyDescent="0.35">
      <c r="A68" s="22"/>
      <c r="B68" s="48"/>
      <c r="C68" s="38"/>
      <c r="D68" s="24"/>
      <c r="E68" s="24"/>
      <c r="F68" s="45"/>
      <c r="G68" s="44"/>
      <c r="H68" s="45"/>
      <c r="I68" s="23"/>
      <c r="J68" s="32"/>
      <c r="K68" s="24"/>
      <c r="L68" s="24"/>
    </row>
    <row r="69" spans="1:12" ht="15" customHeight="1" x14ac:dyDescent="0.35">
      <c r="A69" s="22"/>
      <c r="B69" s="48"/>
      <c r="C69" s="38"/>
      <c r="D69" s="24"/>
      <c r="E69" s="24"/>
      <c r="F69" s="45"/>
      <c r="G69" s="44"/>
      <c r="H69" s="45"/>
      <c r="I69" s="23"/>
      <c r="J69" s="32"/>
      <c r="K69" s="24"/>
      <c r="L69" s="24"/>
    </row>
    <row r="70" spans="1:12" ht="15" customHeight="1" x14ac:dyDescent="0.35">
      <c r="A70" s="22"/>
      <c r="B70" s="48"/>
      <c r="C70" s="38"/>
      <c r="D70" s="24"/>
      <c r="E70" s="24"/>
      <c r="F70" s="45"/>
      <c r="G70" s="44"/>
      <c r="H70" s="45"/>
      <c r="I70" s="23"/>
      <c r="J70" s="32"/>
      <c r="K70" s="24"/>
      <c r="L70" s="24"/>
    </row>
    <row r="71" spans="1:12" ht="15" customHeight="1" x14ac:dyDescent="0.35">
      <c r="A71" s="22"/>
      <c r="B71" s="48"/>
      <c r="C71" s="38"/>
      <c r="D71" s="24"/>
      <c r="E71" s="24"/>
      <c r="F71" s="45"/>
      <c r="G71" s="44"/>
      <c r="H71" s="45"/>
      <c r="I71" s="23"/>
      <c r="J71" s="32"/>
      <c r="K71" s="24"/>
      <c r="L71" s="24"/>
    </row>
    <row r="72" spans="1:12" ht="15" customHeight="1" x14ac:dyDescent="0.35">
      <c r="A72" s="22"/>
      <c r="B72" s="48"/>
      <c r="C72" s="38"/>
      <c r="D72" s="24"/>
      <c r="E72" s="24"/>
      <c r="F72" s="45"/>
      <c r="G72" s="44"/>
      <c r="H72" s="45"/>
      <c r="I72" s="23"/>
      <c r="J72" s="32"/>
      <c r="K72" s="24"/>
      <c r="L72" s="24"/>
    </row>
    <row r="73" spans="1:12" ht="15" customHeight="1" x14ac:dyDescent="0.35">
      <c r="A73" s="22"/>
      <c r="B73" s="48"/>
      <c r="C73" s="38"/>
      <c r="D73" s="24"/>
      <c r="E73" s="24"/>
      <c r="F73" s="45"/>
      <c r="G73" s="44"/>
      <c r="H73" s="45"/>
      <c r="I73" s="23"/>
      <c r="J73" s="32"/>
      <c r="K73" s="24"/>
      <c r="L73" s="24"/>
    </row>
    <row r="74" spans="1:12" ht="15" customHeight="1" x14ac:dyDescent="0.35">
      <c r="A74" s="22"/>
      <c r="B74" s="48"/>
      <c r="C74" s="38"/>
      <c r="D74" s="24"/>
      <c r="E74" s="24"/>
      <c r="F74" s="45"/>
      <c r="G74" s="44"/>
      <c r="H74" s="45"/>
      <c r="I74" s="23"/>
      <c r="J74" s="32"/>
      <c r="K74" s="24"/>
      <c r="L74" s="24"/>
    </row>
    <row r="75" spans="1:12" ht="15" customHeight="1" x14ac:dyDescent="0.35">
      <c r="A75" s="22"/>
      <c r="B75" s="48"/>
      <c r="C75" s="38"/>
      <c r="D75" s="24"/>
      <c r="E75" s="24"/>
      <c r="F75" s="45"/>
      <c r="G75" s="44"/>
      <c r="H75" s="45"/>
      <c r="I75" s="23"/>
      <c r="J75" s="32"/>
      <c r="K75" s="24"/>
      <c r="L75" s="24"/>
    </row>
    <row r="76" spans="1:12" ht="15" customHeight="1" x14ac:dyDescent="0.35">
      <c r="A76" s="22"/>
      <c r="B76" s="48"/>
      <c r="C76" s="38"/>
      <c r="D76" s="24"/>
      <c r="E76" s="24"/>
      <c r="F76" s="45"/>
      <c r="G76" s="44"/>
      <c r="H76" s="45"/>
      <c r="I76" s="23"/>
      <c r="J76" s="32"/>
      <c r="K76" s="24"/>
      <c r="L76" s="24"/>
    </row>
    <row r="77" spans="1:12" ht="15" customHeight="1" x14ac:dyDescent="0.35">
      <c r="A77" s="22"/>
      <c r="B77" s="48"/>
      <c r="C77" s="38"/>
      <c r="D77" s="24"/>
      <c r="E77" s="24"/>
      <c r="F77" s="45"/>
      <c r="G77" s="44"/>
      <c r="H77" s="45"/>
      <c r="I77" s="23"/>
      <c r="J77" s="32"/>
      <c r="K77" s="24"/>
      <c r="L77" s="24"/>
    </row>
    <row r="78" spans="1:12" ht="15" customHeight="1" x14ac:dyDescent="0.35">
      <c r="A78" s="22"/>
      <c r="B78" s="48"/>
      <c r="C78" s="38"/>
      <c r="D78" s="24"/>
      <c r="E78" s="24"/>
      <c r="F78" s="45"/>
      <c r="G78" s="44"/>
      <c r="H78" s="45"/>
      <c r="I78" s="23"/>
      <c r="J78" s="32"/>
      <c r="K78" s="24"/>
      <c r="L78" s="24"/>
    </row>
    <row r="79" spans="1:12" ht="15" customHeight="1" x14ac:dyDescent="0.35">
      <c r="A79" s="22"/>
      <c r="B79" s="48"/>
      <c r="C79" s="38"/>
      <c r="D79" s="24"/>
      <c r="E79" s="24"/>
      <c r="F79" s="45"/>
      <c r="G79" s="44"/>
      <c r="H79" s="45"/>
      <c r="I79" s="23"/>
      <c r="J79" s="32"/>
      <c r="K79" s="24"/>
      <c r="L79" s="24"/>
    </row>
    <row r="80" spans="1:12" ht="15" customHeight="1" x14ac:dyDescent="0.35">
      <c r="A80" s="22"/>
      <c r="B80" s="48"/>
      <c r="C80" s="38"/>
      <c r="D80" s="24"/>
      <c r="E80" s="24"/>
      <c r="F80" s="45"/>
      <c r="G80" s="44"/>
      <c r="H80" s="45"/>
      <c r="I80" s="23"/>
      <c r="J80" s="32"/>
      <c r="K80" s="24"/>
      <c r="L80" s="24"/>
    </row>
    <row r="81" spans="1:12" ht="15" customHeight="1" x14ac:dyDescent="0.35">
      <c r="A81" s="22"/>
      <c r="B81" s="48"/>
      <c r="C81" s="38"/>
      <c r="D81" s="24"/>
      <c r="E81" s="24"/>
      <c r="F81" s="45"/>
      <c r="G81" s="44"/>
      <c r="H81" s="45"/>
      <c r="I81" s="23"/>
      <c r="J81" s="32"/>
      <c r="K81" s="24"/>
      <c r="L81" s="24"/>
    </row>
    <row r="82" spans="1:12" ht="15" customHeight="1" x14ac:dyDescent="0.35">
      <c r="A82" s="22"/>
      <c r="B82" s="48"/>
      <c r="C82" s="38"/>
      <c r="D82" s="24"/>
      <c r="E82" s="24"/>
      <c r="F82" s="45"/>
      <c r="G82" s="44"/>
      <c r="H82" s="45"/>
      <c r="I82" s="23"/>
      <c r="J82" s="32"/>
      <c r="K82" s="24"/>
      <c r="L82" s="24"/>
    </row>
    <row r="83" spans="1:12" ht="15" customHeight="1" x14ac:dyDescent="0.35">
      <c r="A83" s="22"/>
      <c r="B83" s="48"/>
      <c r="C83" s="38"/>
      <c r="D83" s="24"/>
      <c r="E83" s="24"/>
      <c r="F83" s="45"/>
      <c r="G83" s="44"/>
      <c r="H83" s="45"/>
      <c r="I83" s="23"/>
      <c r="J83" s="32"/>
      <c r="K83" s="24"/>
      <c r="L83" s="24"/>
    </row>
    <row r="84" spans="1:12" ht="15" customHeight="1" x14ac:dyDescent="0.35">
      <c r="A84" s="22"/>
      <c r="B84" s="48"/>
      <c r="C84" s="38"/>
      <c r="D84" s="24"/>
      <c r="E84" s="24"/>
      <c r="F84" s="45"/>
      <c r="G84" s="44"/>
      <c r="H84" s="45"/>
      <c r="I84" s="23"/>
      <c r="J84" s="32"/>
      <c r="K84" s="24"/>
      <c r="L84" s="24"/>
    </row>
    <row r="85" spans="1:12" ht="15" customHeight="1" x14ac:dyDescent="0.35">
      <c r="A85" s="22"/>
      <c r="B85" s="48"/>
      <c r="C85" s="38"/>
      <c r="D85" s="24"/>
      <c r="E85" s="24"/>
      <c r="F85" s="45"/>
      <c r="G85" s="44"/>
      <c r="H85" s="45"/>
      <c r="I85" s="23"/>
      <c r="J85" s="32"/>
      <c r="K85" s="24"/>
      <c r="L85" s="24"/>
    </row>
    <row r="86" spans="1:12" ht="15" customHeight="1" x14ac:dyDescent="0.35">
      <c r="A86" s="22"/>
      <c r="B86" s="48"/>
      <c r="C86" s="38"/>
      <c r="D86" s="24"/>
      <c r="E86" s="24"/>
      <c r="F86" s="45"/>
      <c r="G86" s="44"/>
      <c r="H86" s="45"/>
      <c r="I86" s="23"/>
      <c r="J86" s="32"/>
      <c r="K86" s="24"/>
      <c r="L86" s="24"/>
    </row>
    <row r="87" spans="1:12" ht="15" customHeight="1" x14ac:dyDescent="0.35">
      <c r="A87" s="22"/>
      <c r="B87" s="48"/>
      <c r="C87" s="38"/>
      <c r="D87" s="24"/>
      <c r="E87" s="24"/>
      <c r="F87" s="45"/>
      <c r="G87" s="44"/>
      <c r="H87" s="45"/>
      <c r="I87" s="23"/>
      <c r="J87" s="32"/>
      <c r="K87" s="24"/>
      <c r="L87" s="24"/>
    </row>
    <row r="88" spans="1:12" ht="15" customHeight="1" x14ac:dyDescent="0.35">
      <c r="A88" s="22"/>
      <c r="B88" s="48"/>
      <c r="C88" s="38"/>
      <c r="D88" s="24"/>
      <c r="E88" s="24"/>
      <c r="F88" s="45"/>
      <c r="G88" s="44"/>
      <c r="H88" s="45"/>
      <c r="I88" s="23"/>
      <c r="J88" s="32"/>
      <c r="K88" s="24"/>
      <c r="L88" s="24"/>
    </row>
    <row r="89" spans="1:12" ht="15" customHeight="1" x14ac:dyDescent="0.35">
      <c r="A89" s="22"/>
      <c r="B89" s="48"/>
      <c r="C89" s="38"/>
      <c r="D89" s="24"/>
      <c r="E89" s="24"/>
      <c r="F89" s="45"/>
      <c r="G89" s="44"/>
      <c r="H89" s="45"/>
      <c r="I89" s="23"/>
      <c r="J89" s="32"/>
      <c r="K89" s="24"/>
      <c r="L89" s="24"/>
    </row>
    <row r="90" spans="1:12" ht="15" customHeight="1" x14ac:dyDescent="0.35">
      <c r="A90" s="22"/>
      <c r="B90" s="48"/>
      <c r="C90" s="38"/>
      <c r="D90" s="24"/>
      <c r="E90" s="24"/>
      <c r="F90" s="45"/>
      <c r="G90" s="44"/>
      <c r="H90" s="45"/>
      <c r="I90" s="23"/>
      <c r="J90" s="32"/>
      <c r="K90" s="24"/>
      <c r="L90" s="24"/>
    </row>
    <row r="91" spans="1:12" ht="15" customHeight="1" x14ac:dyDescent="0.35">
      <c r="A91" s="22"/>
      <c r="B91" s="48"/>
      <c r="C91" s="38"/>
      <c r="D91" s="24"/>
      <c r="E91" s="24"/>
      <c r="F91" s="45"/>
      <c r="G91" s="44"/>
      <c r="H91" s="45"/>
      <c r="I91" s="23"/>
      <c r="J91" s="32"/>
      <c r="K91" s="24"/>
      <c r="L91" s="24"/>
    </row>
    <row r="92" spans="1:12" ht="15" customHeight="1" x14ac:dyDescent="0.35">
      <c r="A92" s="22"/>
      <c r="B92" s="48"/>
      <c r="C92" s="38"/>
      <c r="D92" s="24"/>
      <c r="E92" s="24"/>
      <c r="F92" s="45"/>
      <c r="G92" s="44"/>
      <c r="H92" s="45"/>
      <c r="I92" s="23"/>
      <c r="J92" s="32"/>
      <c r="K92" s="24"/>
      <c r="L92" s="24"/>
    </row>
    <row r="93" spans="1:12" ht="15" customHeight="1" x14ac:dyDescent="0.35">
      <c r="A93" s="22"/>
      <c r="B93" s="48"/>
      <c r="C93" s="38"/>
      <c r="D93" s="24"/>
      <c r="E93" s="24"/>
      <c r="F93" s="45"/>
      <c r="G93" s="44"/>
      <c r="H93" s="45"/>
      <c r="I93" s="23"/>
      <c r="J93" s="32"/>
      <c r="K93" s="24"/>
      <c r="L93" s="24"/>
    </row>
    <row r="94" spans="1:12" ht="15" customHeight="1" x14ac:dyDescent="0.35">
      <c r="A94" s="22"/>
      <c r="B94" s="48"/>
      <c r="C94" s="38"/>
      <c r="D94" s="24"/>
      <c r="E94" s="24"/>
      <c r="F94" s="45"/>
      <c r="G94" s="44"/>
      <c r="H94" s="45"/>
      <c r="I94" s="23"/>
      <c r="J94" s="32"/>
      <c r="K94" s="24"/>
      <c r="L94" s="24"/>
    </row>
    <row r="95" spans="1:12" ht="15" customHeight="1" x14ac:dyDescent="0.35">
      <c r="A95" s="22"/>
      <c r="B95" s="48"/>
      <c r="C95" s="38"/>
      <c r="D95" s="24"/>
      <c r="E95" s="24"/>
      <c r="F95" s="45"/>
      <c r="G95" s="44"/>
      <c r="H95" s="45"/>
      <c r="I95" s="23"/>
      <c r="J95" s="32"/>
      <c r="K95" s="24"/>
      <c r="L95" s="24"/>
    </row>
    <row r="96" spans="1:12" ht="15" customHeight="1" x14ac:dyDescent="0.35">
      <c r="A96" s="22"/>
      <c r="B96" s="48"/>
      <c r="C96" s="38"/>
      <c r="D96" s="24"/>
      <c r="E96" s="24"/>
      <c r="F96" s="45"/>
      <c r="G96" s="44"/>
      <c r="H96" s="45"/>
      <c r="I96" s="23"/>
      <c r="J96" s="32"/>
      <c r="K96" s="24"/>
      <c r="L96" s="24"/>
    </row>
    <row r="97" spans="1:12" ht="15" customHeight="1" x14ac:dyDescent="0.35">
      <c r="A97" s="22"/>
      <c r="B97" s="48"/>
      <c r="C97" s="38"/>
      <c r="D97" s="24"/>
      <c r="E97" s="24"/>
      <c r="F97" s="45"/>
      <c r="G97" s="44"/>
      <c r="H97" s="45"/>
      <c r="I97" s="23"/>
      <c r="J97" s="32"/>
      <c r="K97" s="24"/>
      <c r="L97" s="24"/>
    </row>
    <row r="98" spans="1:12" ht="15" customHeight="1" x14ac:dyDescent="0.35">
      <c r="A98" s="22"/>
      <c r="B98" s="48"/>
      <c r="C98" s="38"/>
      <c r="D98" s="24"/>
      <c r="E98" s="24"/>
      <c r="F98" s="45"/>
      <c r="G98" s="44"/>
      <c r="H98" s="45"/>
      <c r="I98" s="23"/>
      <c r="J98" s="32"/>
      <c r="K98" s="24"/>
      <c r="L98" s="24"/>
    </row>
    <row r="99" spans="1:12" ht="15" customHeight="1" x14ac:dyDescent="0.35">
      <c r="A99" s="22"/>
      <c r="B99" s="48"/>
      <c r="C99" s="38"/>
      <c r="D99" s="24"/>
      <c r="E99" s="24"/>
      <c r="F99" s="45"/>
      <c r="G99" s="44"/>
      <c r="H99" s="45"/>
      <c r="I99" s="23"/>
      <c r="J99" s="32"/>
      <c r="K99" s="24"/>
      <c r="L99" s="24"/>
    </row>
    <row r="100" spans="1:12" ht="15" customHeight="1" x14ac:dyDescent="0.35">
      <c r="A100" s="22"/>
      <c r="B100" s="48"/>
      <c r="C100" s="38"/>
      <c r="D100" s="24"/>
      <c r="E100" s="24"/>
      <c r="F100" s="45"/>
      <c r="G100" s="44"/>
      <c r="H100" s="45"/>
      <c r="I100" s="23"/>
      <c r="J100" s="32"/>
      <c r="K100" s="24"/>
      <c r="L100" s="24"/>
    </row>
    <row r="101" spans="1:12" ht="15" customHeight="1" x14ac:dyDescent="0.35">
      <c r="A101" s="22"/>
      <c r="B101" s="48"/>
      <c r="C101" s="38"/>
      <c r="D101" s="24"/>
      <c r="E101" s="24"/>
      <c r="F101" s="45"/>
      <c r="G101" s="44"/>
      <c r="H101" s="45"/>
      <c r="I101" s="23"/>
      <c r="J101" s="32"/>
      <c r="K101" s="24"/>
      <c r="L101" s="24"/>
    </row>
    <row r="102" spans="1:12" ht="15" customHeight="1" x14ac:dyDescent="0.35">
      <c r="A102" s="22"/>
      <c r="B102" s="48"/>
      <c r="C102" s="38"/>
      <c r="D102" s="24"/>
      <c r="E102" s="24"/>
      <c r="F102" s="45"/>
      <c r="G102" s="44"/>
      <c r="H102" s="45"/>
      <c r="I102" s="23"/>
      <c r="J102" s="32"/>
      <c r="K102" s="24"/>
      <c r="L102" s="24"/>
    </row>
    <row r="103" spans="1:12" ht="15" customHeight="1" x14ac:dyDescent="0.35">
      <c r="A103" s="22"/>
      <c r="B103" s="48"/>
      <c r="C103" s="38"/>
      <c r="D103" s="24"/>
      <c r="E103" s="24"/>
      <c r="F103" s="45"/>
      <c r="G103" s="44"/>
      <c r="H103" s="45"/>
      <c r="I103" s="23"/>
      <c r="J103" s="32"/>
      <c r="K103" s="24"/>
      <c r="L103" s="24"/>
    </row>
    <row r="104" spans="1:12" ht="15" customHeight="1" x14ac:dyDescent="0.35">
      <c r="A104" s="22"/>
      <c r="B104" s="48"/>
      <c r="C104" s="38"/>
      <c r="D104" s="24"/>
      <c r="E104" s="24"/>
      <c r="F104" s="45"/>
      <c r="G104" s="44"/>
      <c r="H104" s="45"/>
      <c r="I104" s="23"/>
      <c r="J104" s="32"/>
      <c r="K104" s="24"/>
      <c r="L104" s="24"/>
    </row>
    <row r="105" spans="1:12" ht="15" customHeight="1" x14ac:dyDescent="0.35">
      <c r="A105" s="22"/>
      <c r="B105" s="48"/>
      <c r="C105" s="38"/>
      <c r="D105" s="24"/>
      <c r="E105" s="24"/>
      <c r="F105" s="45"/>
      <c r="G105" s="44"/>
      <c r="H105" s="45"/>
      <c r="I105" s="23"/>
      <c r="J105" s="32"/>
      <c r="K105" s="24"/>
      <c r="L105" s="24"/>
    </row>
    <row r="106" spans="1:12" ht="15" customHeight="1" x14ac:dyDescent="0.35">
      <c r="A106" s="22"/>
      <c r="B106" s="48"/>
      <c r="C106" s="38"/>
      <c r="D106" s="24"/>
      <c r="E106" s="24"/>
      <c r="F106" s="45"/>
      <c r="G106" s="44"/>
      <c r="H106" s="45"/>
      <c r="I106" s="23"/>
      <c r="J106" s="32"/>
      <c r="K106" s="24"/>
      <c r="L106" s="24"/>
    </row>
    <row r="107" spans="1:12" ht="15" customHeight="1" x14ac:dyDescent="0.35">
      <c r="A107" s="22"/>
      <c r="B107" s="48"/>
      <c r="C107" s="38"/>
      <c r="D107" s="24"/>
      <c r="E107" s="24"/>
      <c r="F107" s="45"/>
      <c r="G107" s="44"/>
      <c r="H107" s="45"/>
      <c r="I107" s="23"/>
      <c r="J107" s="32"/>
      <c r="K107" s="24"/>
      <c r="L107" s="24"/>
    </row>
    <row r="108" spans="1:12" ht="15" customHeight="1" x14ac:dyDescent="0.35">
      <c r="A108" s="22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</row>
    <row r="109" spans="1:12" ht="15" customHeight="1" x14ac:dyDescent="0.35">
      <c r="A109" s="22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</row>
    <row r="110" spans="1:12" ht="15" customHeight="1" x14ac:dyDescent="0.35">
      <c r="A110" s="22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</row>
    <row r="111" spans="1:12" ht="15" customHeight="1" x14ac:dyDescent="0.35">
      <c r="A111" s="22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</row>
    <row r="112" spans="1:12" ht="15" customHeight="1" x14ac:dyDescent="0.35">
      <c r="A112" s="22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</row>
    <row r="113" spans="1:12" ht="15" customHeight="1" x14ac:dyDescent="0.35">
      <c r="A113" s="22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</row>
    <row r="114" spans="1:12" ht="15" customHeight="1" x14ac:dyDescent="0.35">
      <c r="A114" s="22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</row>
    <row r="115" spans="1:12" ht="15" customHeight="1" x14ac:dyDescent="0.35">
      <c r="A115" s="22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</row>
    <row r="116" spans="1:12" ht="15" customHeight="1" x14ac:dyDescent="0.35">
      <c r="A116" s="22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</row>
    <row r="117" spans="1:12" ht="15" customHeight="1" x14ac:dyDescent="0.35">
      <c r="A117" s="22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</row>
    <row r="118" spans="1:12" ht="15" customHeight="1" x14ac:dyDescent="0.35">
      <c r="A118" s="22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</row>
    <row r="119" spans="1:12" ht="15" customHeight="1" x14ac:dyDescent="0.35">
      <c r="A119" s="22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</row>
    <row r="120" spans="1:12" ht="15" customHeight="1" x14ac:dyDescent="0.35">
      <c r="A120" s="22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</row>
    <row r="121" spans="1:12" ht="15" customHeight="1" x14ac:dyDescent="0.35">
      <c r="A121" s="22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</row>
    <row r="122" spans="1:12" ht="15" customHeight="1" x14ac:dyDescent="0.35">
      <c r="A122" s="22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</row>
    <row r="123" spans="1:12" ht="15" customHeight="1" x14ac:dyDescent="0.35">
      <c r="A123" s="22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</row>
    <row r="124" spans="1:12" ht="15" customHeight="1" x14ac:dyDescent="0.35">
      <c r="A124" s="22"/>
      <c r="B124" s="26"/>
      <c r="C124" s="26"/>
      <c r="D124" s="26"/>
      <c r="E124" s="26"/>
      <c r="F124" s="26"/>
      <c r="G124" s="26"/>
      <c r="H124" s="26"/>
      <c r="I124" s="26"/>
      <c r="J124" s="26"/>
      <c r="K124" s="26"/>
      <c r="L124" s="26"/>
    </row>
    <row r="125" spans="1:12" ht="15" customHeight="1" x14ac:dyDescent="0.35">
      <c r="A125" s="22"/>
      <c r="B125" s="26"/>
      <c r="C125" s="26"/>
      <c r="D125" s="26"/>
      <c r="E125" s="26"/>
      <c r="F125" s="26"/>
      <c r="G125" s="26"/>
      <c r="H125" s="26"/>
      <c r="I125" s="26"/>
      <c r="J125" s="26"/>
      <c r="K125" s="26"/>
      <c r="L125" s="26"/>
    </row>
    <row r="126" spans="1:12" ht="15" customHeight="1" x14ac:dyDescent="0.35">
      <c r="A126" s="22"/>
      <c r="B126" s="26"/>
      <c r="C126" s="26"/>
      <c r="D126" s="26"/>
      <c r="E126" s="26"/>
      <c r="F126" s="26"/>
      <c r="G126" s="26"/>
      <c r="H126" s="26"/>
      <c r="I126" s="26"/>
      <c r="J126" s="26"/>
      <c r="K126" s="26"/>
      <c r="L126" s="26"/>
    </row>
    <row r="127" spans="1:12" ht="15" customHeight="1" x14ac:dyDescent="0.35">
      <c r="A127" s="22"/>
      <c r="B127" s="26"/>
      <c r="C127" s="26"/>
      <c r="D127" s="26"/>
      <c r="E127" s="26"/>
      <c r="F127" s="26"/>
      <c r="G127" s="26"/>
      <c r="H127" s="26"/>
      <c r="I127" s="26"/>
      <c r="J127" s="26"/>
      <c r="K127" s="26"/>
      <c r="L127" s="26"/>
    </row>
    <row r="128" spans="1:12" ht="15" customHeight="1" x14ac:dyDescent="0.35">
      <c r="A128" s="22"/>
      <c r="B128" s="26"/>
      <c r="C128" s="26"/>
      <c r="D128" s="26"/>
      <c r="E128" s="26"/>
      <c r="F128" s="26"/>
      <c r="G128" s="26"/>
      <c r="H128" s="26"/>
      <c r="I128" s="26"/>
      <c r="J128" s="26"/>
      <c r="K128" s="26"/>
      <c r="L128" s="26"/>
    </row>
    <row r="129" spans="1:12" ht="15" customHeight="1" x14ac:dyDescent="0.35">
      <c r="A129" s="22"/>
      <c r="B129" s="26"/>
      <c r="C129" s="26"/>
      <c r="D129" s="26"/>
      <c r="E129" s="26"/>
      <c r="F129" s="26"/>
      <c r="G129" s="26"/>
      <c r="H129" s="26"/>
      <c r="I129" s="26"/>
      <c r="J129" s="26"/>
      <c r="K129" s="26"/>
      <c r="L129" s="26"/>
    </row>
    <row r="130" spans="1:12" ht="15" customHeight="1" x14ac:dyDescent="0.35">
      <c r="A130" s="22"/>
      <c r="B130" s="26"/>
      <c r="C130" s="26"/>
      <c r="D130" s="26"/>
      <c r="E130" s="26"/>
      <c r="F130" s="26"/>
      <c r="G130" s="26"/>
      <c r="H130" s="26"/>
      <c r="I130" s="26"/>
      <c r="J130" s="26"/>
      <c r="K130" s="26"/>
      <c r="L130" s="26"/>
    </row>
    <row r="131" spans="1:12" ht="15" customHeight="1" x14ac:dyDescent="0.35">
      <c r="A131" s="22"/>
      <c r="B131" s="26"/>
      <c r="C131" s="26"/>
      <c r="D131" s="26"/>
      <c r="E131" s="26"/>
      <c r="F131" s="26"/>
      <c r="G131" s="26"/>
      <c r="H131" s="26"/>
      <c r="I131" s="26"/>
      <c r="J131" s="26"/>
      <c r="K131" s="26"/>
      <c r="L131" s="26"/>
    </row>
    <row r="132" spans="1:12" ht="15" customHeight="1" x14ac:dyDescent="0.35">
      <c r="A132" s="22"/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</row>
    <row r="133" spans="1:12" ht="15" customHeight="1" x14ac:dyDescent="0.35">
      <c r="A133" s="22"/>
      <c r="B133" s="26"/>
      <c r="C133" s="26"/>
      <c r="D133" s="26"/>
      <c r="E133" s="26"/>
      <c r="F133" s="26"/>
      <c r="G133" s="26"/>
      <c r="H133" s="26"/>
      <c r="I133" s="26"/>
      <c r="J133" s="26"/>
      <c r="K133" s="26"/>
      <c r="L133" s="26"/>
    </row>
    <row r="134" spans="1:12" ht="15" customHeight="1" x14ac:dyDescent="0.35">
      <c r="A134" s="22"/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</row>
    <row r="135" spans="1:12" ht="15" customHeight="1" x14ac:dyDescent="0.35">
      <c r="A135" s="22"/>
      <c r="B135" s="26"/>
      <c r="C135" s="26"/>
      <c r="D135" s="26"/>
      <c r="E135" s="26"/>
      <c r="F135" s="26"/>
      <c r="G135" s="26"/>
      <c r="H135" s="26"/>
      <c r="I135" s="26"/>
      <c r="J135" s="26"/>
      <c r="K135" s="26"/>
      <c r="L135" s="26"/>
    </row>
    <row r="136" spans="1:12" ht="15" customHeight="1" x14ac:dyDescent="0.35">
      <c r="A136" s="22"/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</row>
    <row r="137" spans="1:12" ht="15" customHeight="1" x14ac:dyDescent="0.35">
      <c r="A137" s="22"/>
      <c r="B137" s="26"/>
      <c r="C137" s="26"/>
      <c r="D137" s="26"/>
      <c r="E137" s="26"/>
      <c r="F137" s="26"/>
      <c r="G137" s="26"/>
      <c r="H137" s="26"/>
      <c r="I137" s="26"/>
      <c r="J137" s="26"/>
      <c r="K137" s="26"/>
      <c r="L137" s="26"/>
    </row>
    <row r="138" spans="1:12" ht="15" customHeight="1" x14ac:dyDescent="0.35">
      <c r="A138" s="22"/>
      <c r="B138" s="26"/>
      <c r="C138" s="26"/>
      <c r="D138" s="26"/>
      <c r="E138" s="26"/>
      <c r="F138" s="26"/>
      <c r="G138" s="26"/>
      <c r="H138" s="26"/>
      <c r="I138" s="26"/>
      <c r="J138" s="26"/>
      <c r="K138" s="26"/>
      <c r="L138" s="26"/>
    </row>
    <row r="139" spans="1:12" ht="15" customHeight="1" x14ac:dyDescent="0.35">
      <c r="A139" s="22"/>
      <c r="B139" s="26"/>
      <c r="C139" s="26"/>
      <c r="D139" s="26"/>
      <c r="E139" s="26"/>
      <c r="F139" s="26"/>
      <c r="G139" s="26"/>
      <c r="H139" s="26"/>
      <c r="I139" s="26"/>
      <c r="J139" s="26"/>
      <c r="K139" s="26"/>
      <c r="L139" s="26"/>
    </row>
    <row r="140" spans="1:12" ht="15" customHeight="1" x14ac:dyDescent="0.35">
      <c r="A140" s="22"/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</row>
    <row r="141" spans="1:12" ht="15" customHeight="1" x14ac:dyDescent="0.35">
      <c r="A141" s="22"/>
      <c r="B141" s="26"/>
      <c r="C141" s="26"/>
      <c r="D141" s="26"/>
      <c r="E141" s="26"/>
      <c r="F141" s="26"/>
      <c r="G141" s="26"/>
      <c r="H141" s="26"/>
      <c r="I141" s="26"/>
      <c r="J141" s="26"/>
      <c r="K141" s="26"/>
      <c r="L141" s="26"/>
    </row>
    <row r="142" spans="1:12" ht="15" customHeight="1" x14ac:dyDescent="0.3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</row>
    <row r="143" spans="1:12" ht="15" customHeight="1" x14ac:dyDescent="0.3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</row>
    <row r="144" spans="1:12" ht="15" customHeight="1" x14ac:dyDescent="0.3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</row>
    <row r="145" spans="1:12" ht="15" customHeight="1" x14ac:dyDescent="0.3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</row>
    <row r="146" spans="1:12" ht="15" customHeight="1" x14ac:dyDescent="0.3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</row>
    <row r="147" spans="1:12" ht="15" customHeight="1" x14ac:dyDescent="0.3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</row>
    <row r="148" spans="1:12" ht="15" customHeight="1" x14ac:dyDescent="0.3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</row>
    <row r="149" spans="1:12" ht="15" customHeight="1" x14ac:dyDescent="0.3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</row>
    <row r="150" spans="1:12" ht="15" customHeight="1" x14ac:dyDescent="0.3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</row>
  </sheetData>
  <autoFilter ref="B10:L30" xr:uid="{00000000-0009-0000-0000-000001000000}"/>
  <mergeCells count="1">
    <mergeCell ref="B2:C8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penForm">
                <anchor moveWithCells="1">
                  <from>
                    <xdr:col>5</xdr:col>
                    <xdr:colOff>273050</xdr:colOff>
                    <xdr:row>3</xdr:row>
                    <xdr:rowOff>114300</xdr:rowOff>
                  </from>
                  <to>
                    <xdr:col>6</xdr:col>
                    <xdr:colOff>565150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BB590-F2B8-4272-B56E-FBB84908900C}">
  <sheetPr codeName="Sheet2"/>
  <dimension ref="A1:D118"/>
  <sheetViews>
    <sheetView tabSelected="1" workbookViewId="0">
      <selection activeCell="D2" sqref="D2"/>
    </sheetView>
  </sheetViews>
  <sheetFormatPr defaultRowHeight="14.5" x14ac:dyDescent="0.35"/>
  <cols>
    <col min="1" max="1" width="15.26953125" bestFit="1" customWidth="1"/>
    <col min="2" max="2" width="12.81640625" customWidth="1"/>
    <col min="3" max="3" width="15.7265625" bestFit="1" customWidth="1"/>
    <col min="4" max="4" width="60.08984375" customWidth="1"/>
    <col min="5" max="5" width="11" customWidth="1"/>
  </cols>
  <sheetData>
    <row r="1" spans="1:4" x14ac:dyDescent="0.35">
      <c r="A1" s="70" t="s">
        <v>39</v>
      </c>
      <c r="B1" s="70" t="s">
        <v>57</v>
      </c>
      <c r="C1" s="70" t="s">
        <v>58</v>
      </c>
      <c r="D1" s="70" t="s">
        <v>59</v>
      </c>
    </row>
    <row r="2" spans="1:4" x14ac:dyDescent="0.35">
      <c r="A2" s="69">
        <v>43541.945868055554</v>
      </c>
      <c r="B2" t="s">
        <v>56</v>
      </c>
      <c r="C2" t="s">
        <v>44</v>
      </c>
      <c r="D2" t="s">
        <v>96</v>
      </c>
    </row>
    <row r="3" spans="1:4" x14ac:dyDescent="0.35">
      <c r="A3" s="69">
        <v>43541.945868055554</v>
      </c>
      <c r="B3" t="s">
        <v>56</v>
      </c>
      <c r="C3" t="s">
        <v>44</v>
      </c>
      <c r="D3" t="s">
        <v>95</v>
      </c>
    </row>
    <row r="4" spans="1:4" x14ac:dyDescent="0.35">
      <c r="A4" s="69">
        <v>43541.945868055554</v>
      </c>
      <c r="B4" t="s">
        <v>56</v>
      </c>
      <c r="C4" t="s">
        <v>44</v>
      </c>
      <c r="D4" t="s">
        <v>94</v>
      </c>
    </row>
    <row r="5" spans="1:4" x14ac:dyDescent="0.35">
      <c r="A5" s="69">
        <v>43541.945868055554</v>
      </c>
      <c r="B5" t="s">
        <v>56</v>
      </c>
      <c r="C5" t="s">
        <v>44</v>
      </c>
      <c r="D5" t="s">
        <v>93</v>
      </c>
    </row>
    <row r="6" spans="1:4" x14ac:dyDescent="0.35">
      <c r="A6" s="69">
        <v>43541.945868055554</v>
      </c>
      <c r="B6" t="s">
        <v>56</v>
      </c>
      <c r="C6" t="s">
        <v>44</v>
      </c>
      <c r="D6" t="s">
        <v>92</v>
      </c>
    </row>
    <row r="7" spans="1:4" x14ac:dyDescent="0.35">
      <c r="A7" s="69">
        <v>43541.94494212963</v>
      </c>
      <c r="B7" t="s">
        <v>56</v>
      </c>
      <c r="C7" t="s">
        <v>34</v>
      </c>
      <c r="D7" t="s">
        <v>91</v>
      </c>
    </row>
    <row r="8" spans="1:4" x14ac:dyDescent="0.35">
      <c r="A8" s="69">
        <v>43541.94494212963</v>
      </c>
      <c r="B8" t="s">
        <v>56</v>
      </c>
      <c r="C8" t="s">
        <v>34</v>
      </c>
      <c r="D8" t="s">
        <v>90</v>
      </c>
    </row>
    <row r="9" spans="1:4" x14ac:dyDescent="0.35">
      <c r="A9" s="69">
        <v>43541.94494212963</v>
      </c>
      <c r="B9" t="s">
        <v>56</v>
      </c>
      <c r="C9" t="s">
        <v>34</v>
      </c>
      <c r="D9" t="s">
        <v>89</v>
      </c>
    </row>
    <row r="10" spans="1:4" x14ac:dyDescent="0.35">
      <c r="A10" s="69">
        <v>43541.94494212963</v>
      </c>
      <c r="B10" t="s">
        <v>56</v>
      </c>
      <c r="C10" t="s">
        <v>34</v>
      </c>
      <c r="D10" t="s">
        <v>88</v>
      </c>
    </row>
    <row r="11" spans="1:4" x14ac:dyDescent="0.35">
      <c r="A11" s="69">
        <v>43541.94494212963</v>
      </c>
      <c r="B11" t="s">
        <v>56</v>
      </c>
      <c r="C11" t="s">
        <v>34</v>
      </c>
      <c r="D11" t="s">
        <v>87</v>
      </c>
    </row>
    <row r="12" spans="1:4" x14ac:dyDescent="0.35">
      <c r="A12" s="69">
        <v>43541.944456018522</v>
      </c>
      <c r="B12" t="s">
        <v>56</v>
      </c>
      <c r="C12" t="s">
        <v>60</v>
      </c>
      <c r="D12" t="s">
        <v>61</v>
      </c>
    </row>
    <row r="13" spans="1:4" x14ac:dyDescent="0.35">
      <c r="A13" s="69">
        <v>43541.940486111111</v>
      </c>
      <c r="B13" t="s">
        <v>56</v>
      </c>
      <c r="C13" t="s">
        <v>44</v>
      </c>
      <c r="D13" t="s">
        <v>86</v>
      </c>
    </row>
    <row r="14" spans="1:4" x14ac:dyDescent="0.35">
      <c r="A14" s="69">
        <v>43541.940486111111</v>
      </c>
      <c r="B14" t="s">
        <v>56</v>
      </c>
      <c r="C14" t="s">
        <v>44</v>
      </c>
      <c r="D14" t="s">
        <v>85</v>
      </c>
    </row>
    <row r="15" spans="1:4" x14ac:dyDescent="0.35">
      <c r="A15" s="69">
        <v>43541.940486111111</v>
      </c>
      <c r="B15" t="s">
        <v>56</v>
      </c>
      <c r="C15" t="s">
        <v>44</v>
      </c>
      <c r="D15" t="s">
        <v>84</v>
      </c>
    </row>
    <row r="16" spans="1:4" x14ac:dyDescent="0.35">
      <c r="A16" s="69">
        <v>43541.940486111111</v>
      </c>
      <c r="B16" t="s">
        <v>56</v>
      </c>
      <c r="C16" t="s">
        <v>44</v>
      </c>
      <c r="D16" t="s">
        <v>83</v>
      </c>
    </row>
    <row r="17" spans="1:4" x14ac:dyDescent="0.35">
      <c r="A17" s="69">
        <v>43541.940486111111</v>
      </c>
      <c r="B17" t="s">
        <v>56</v>
      </c>
      <c r="C17" t="s">
        <v>44</v>
      </c>
      <c r="D17" t="s">
        <v>82</v>
      </c>
    </row>
    <row r="18" spans="1:4" x14ac:dyDescent="0.35">
      <c r="A18" s="69">
        <v>43541.938564814816</v>
      </c>
      <c r="B18" t="s">
        <v>56</v>
      </c>
      <c r="C18" t="s">
        <v>34</v>
      </c>
      <c r="D18" t="s">
        <v>81</v>
      </c>
    </row>
    <row r="19" spans="1:4" x14ac:dyDescent="0.35">
      <c r="A19" s="69">
        <v>43541.938564814816</v>
      </c>
      <c r="B19" t="s">
        <v>56</v>
      </c>
      <c r="C19" t="s">
        <v>34</v>
      </c>
      <c r="D19" t="s">
        <v>80</v>
      </c>
    </row>
    <row r="20" spans="1:4" x14ac:dyDescent="0.35">
      <c r="A20" s="69">
        <v>43541.938564814816</v>
      </c>
      <c r="B20" t="s">
        <v>56</v>
      </c>
      <c r="C20" t="s">
        <v>34</v>
      </c>
      <c r="D20" t="s">
        <v>79</v>
      </c>
    </row>
    <row r="21" spans="1:4" x14ac:dyDescent="0.35">
      <c r="A21" s="69">
        <v>43541.938564814816</v>
      </c>
      <c r="B21" t="s">
        <v>56</v>
      </c>
      <c r="C21" t="s">
        <v>34</v>
      </c>
      <c r="D21" t="s">
        <v>78</v>
      </c>
    </row>
    <row r="22" spans="1:4" x14ac:dyDescent="0.35">
      <c r="A22" s="69">
        <v>43541.938564814816</v>
      </c>
      <c r="B22" t="s">
        <v>56</v>
      </c>
      <c r="C22" t="s">
        <v>34</v>
      </c>
      <c r="D22" t="s">
        <v>77</v>
      </c>
    </row>
    <row r="23" spans="1:4" x14ac:dyDescent="0.35">
      <c r="A23" s="69"/>
    </row>
    <row r="24" spans="1:4" x14ac:dyDescent="0.35">
      <c r="A24" s="69"/>
    </row>
    <row r="25" spans="1:4" x14ac:dyDescent="0.35">
      <c r="A25" s="69"/>
    </row>
    <row r="26" spans="1:4" x14ac:dyDescent="0.35">
      <c r="A26" s="69"/>
    </row>
    <row r="27" spans="1:4" x14ac:dyDescent="0.35">
      <c r="A27" s="69"/>
    </row>
    <row r="28" spans="1:4" x14ac:dyDescent="0.35">
      <c r="A28" s="69"/>
    </row>
    <row r="29" spans="1:4" x14ac:dyDescent="0.35">
      <c r="A29" s="69"/>
    </row>
    <row r="30" spans="1:4" x14ac:dyDescent="0.35">
      <c r="A30" s="69"/>
    </row>
    <row r="31" spans="1:4" x14ac:dyDescent="0.35">
      <c r="A31" s="69"/>
    </row>
    <row r="32" spans="1:4" x14ac:dyDescent="0.35">
      <c r="A32" s="69"/>
    </row>
    <row r="33" spans="1:1" x14ac:dyDescent="0.35">
      <c r="A33" s="69"/>
    </row>
    <row r="34" spans="1:1" x14ac:dyDescent="0.35">
      <c r="A34" s="69"/>
    </row>
    <row r="35" spans="1:1" x14ac:dyDescent="0.35">
      <c r="A35" s="69"/>
    </row>
    <row r="36" spans="1:1" x14ac:dyDescent="0.35">
      <c r="A36" s="69"/>
    </row>
    <row r="37" spans="1:1" x14ac:dyDescent="0.35">
      <c r="A37" s="69"/>
    </row>
    <row r="38" spans="1:1" x14ac:dyDescent="0.35">
      <c r="A38" s="69"/>
    </row>
    <row r="39" spans="1:1" x14ac:dyDescent="0.35">
      <c r="A39" s="69"/>
    </row>
    <row r="40" spans="1:1" x14ac:dyDescent="0.35">
      <c r="A40" s="69"/>
    </row>
    <row r="41" spans="1:1" x14ac:dyDescent="0.35">
      <c r="A41" s="69"/>
    </row>
    <row r="42" spans="1:1" x14ac:dyDescent="0.35">
      <c r="A42" s="69"/>
    </row>
    <row r="43" spans="1:1" x14ac:dyDescent="0.35">
      <c r="A43" s="69"/>
    </row>
    <row r="44" spans="1:1" x14ac:dyDescent="0.35">
      <c r="A44" s="69"/>
    </row>
    <row r="45" spans="1:1" x14ac:dyDescent="0.35">
      <c r="A45" s="69"/>
    </row>
    <row r="46" spans="1:1" x14ac:dyDescent="0.35">
      <c r="A46" s="69"/>
    </row>
    <row r="47" spans="1:1" x14ac:dyDescent="0.35">
      <c r="A47" s="69"/>
    </row>
    <row r="48" spans="1:1" x14ac:dyDescent="0.35">
      <c r="A48" s="69"/>
    </row>
    <row r="49" spans="1:1" x14ac:dyDescent="0.35">
      <c r="A49" s="69"/>
    </row>
    <row r="50" spans="1:1" x14ac:dyDescent="0.35">
      <c r="A50" s="69"/>
    </row>
    <row r="51" spans="1:1" x14ac:dyDescent="0.35">
      <c r="A51" s="69"/>
    </row>
    <row r="52" spans="1:1" x14ac:dyDescent="0.35">
      <c r="A52" s="69"/>
    </row>
    <row r="53" spans="1:1" x14ac:dyDescent="0.35">
      <c r="A53" s="69"/>
    </row>
    <row r="54" spans="1:1" x14ac:dyDescent="0.35">
      <c r="A54" s="69"/>
    </row>
    <row r="55" spans="1:1" x14ac:dyDescent="0.35">
      <c r="A55" s="69"/>
    </row>
    <row r="56" spans="1:1" x14ac:dyDescent="0.35">
      <c r="A56" s="69"/>
    </row>
    <row r="57" spans="1:1" x14ac:dyDescent="0.35">
      <c r="A57" s="69"/>
    </row>
    <row r="58" spans="1:1" x14ac:dyDescent="0.35">
      <c r="A58" s="69"/>
    </row>
    <row r="59" spans="1:1" x14ac:dyDescent="0.35">
      <c r="A59" s="69"/>
    </row>
    <row r="60" spans="1:1" x14ac:dyDescent="0.35">
      <c r="A60" s="69"/>
    </row>
    <row r="61" spans="1:1" x14ac:dyDescent="0.35">
      <c r="A61" s="69"/>
    </row>
    <row r="62" spans="1:1" x14ac:dyDescent="0.35">
      <c r="A62" s="69"/>
    </row>
    <row r="63" spans="1:1" x14ac:dyDescent="0.35">
      <c r="A63" s="69"/>
    </row>
    <row r="64" spans="1:1" x14ac:dyDescent="0.35">
      <c r="A64" s="69"/>
    </row>
    <row r="65" spans="1:1" x14ac:dyDescent="0.35">
      <c r="A65" s="69"/>
    </row>
    <row r="66" spans="1:1" x14ac:dyDescent="0.35">
      <c r="A66" s="69"/>
    </row>
    <row r="67" spans="1:1" x14ac:dyDescent="0.35">
      <c r="A67" s="69"/>
    </row>
    <row r="68" spans="1:1" x14ac:dyDescent="0.35">
      <c r="A68" s="69"/>
    </row>
    <row r="69" spans="1:1" x14ac:dyDescent="0.35">
      <c r="A69" s="69"/>
    </row>
    <row r="70" spans="1:1" x14ac:dyDescent="0.35">
      <c r="A70" s="69"/>
    </row>
    <row r="71" spans="1:1" x14ac:dyDescent="0.35">
      <c r="A71" s="69"/>
    </row>
    <row r="72" spans="1:1" x14ac:dyDescent="0.35">
      <c r="A72" s="69"/>
    </row>
    <row r="73" spans="1:1" x14ac:dyDescent="0.35">
      <c r="A73" s="69"/>
    </row>
    <row r="74" spans="1:1" x14ac:dyDescent="0.35">
      <c r="A74" s="69"/>
    </row>
    <row r="75" spans="1:1" x14ac:dyDescent="0.35">
      <c r="A75" s="69"/>
    </row>
    <row r="76" spans="1:1" x14ac:dyDescent="0.35">
      <c r="A76" s="69"/>
    </row>
    <row r="77" spans="1:1" x14ac:dyDescent="0.35">
      <c r="A77" s="69"/>
    </row>
    <row r="78" spans="1:1" x14ac:dyDescent="0.35">
      <c r="A78" s="69"/>
    </row>
    <row r="79" spans="1:1" x14ac:dyDescent="0.35">
      <c r="A79" s="69"/>
    </row>
    <row r="80" spans="1:1" x14ac:dyDescent="0.35">
      <c r="A80" s="69"/>
    </row>
    <row r="81" spans="1:1" x14ac:dyDescent="0.35">
      <c r="A81" s="69"/>
    </row>
    <row r="82" spans="1:1" x14ac:dyDescent="0.35">
      <c r="A82" s="69"/>
    </row>
    <row r="83" spans="1:1" x14ac:dyDescent="0.35">
      <c r="A83" s="69"/>
    </row>
    <row r="84" spans="1:1" x14ac:dyDescent="0.35">
      <c r="A84" s="69"/>
    </row>
    <row r="85" spans="1:1" x14ac:dyDescent="0.35">
      <c r="A85" s="69"/>
    </row>
    <row r="86" spans="1:1" x14ac:dyDescent="0.35">
      <c r="A86" s="69"/>
    </row>
    <row r="87" spans="1:1" x14ac:dyDescent="0.35">
      <c r="A87" s="69"/>
    </row>
    <row r="88" spans="1:1" x14ac:dyDescent="0.35">
      <c r="A88" s="69"/>
    </row>
    <row r="89" spans="1:1" x14ac:dyDescent="0.35">
      <c r="A89" s="69"/>
    </row>
    <row r="90" spans="1:1" x14ac:dyDescent="0.35">
      <c r="A90" s="69"/>
    </row>
    <row r="91" spans="1:1" x14ac:dyDescent="0.35">
      <c r="A91" s="69"/>
    </row>
    <row r="118" spans="2:2" x14ac:dyDescent="0.35">
      <c r="B118" t="s">
        <v>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0">
    <tabColor rgb="FFFF0000"/>
  </sheetPr>
  <dimension ref="B3:Q21"/>
  <sheetViews>
    <sheetView workbookViewId="0">
      <selection activeCell="G14" sqref="G14"/>
    </sheetView>
  </sheetViews>
  <sheetFormatPr defaultRowHeight="14.5" x14ac:dyDescent="0.35"/>
  <cols>
    <col min="1" max="1" width="5.08984375" customWidth="1"/>
    <col min="2" max="2" width="3" customWidth="1"/>
    <col min="3" max="3" width="11.54296875" customWidth="1"/>
    <col min="4" max="5" width="11.26953125" customWidth="1"/>
    <col min="6" max="6" width="12" customWidth="1"/>
    <col min="7" max="7" width="13.36328125" customWidth="1"/>
    <col min="8" max="8" width="2.7265625" customWidth="1"/>
    <col min="10" max="10" width="19.54296875" bestFit="1" customWidth="1"/>
    <col min="11" max="11" width="3.81640625" customWidth="1"/>
    <col min="12" max="12" width="10.54296875" bestFit="1" customWidth="1"/>
    <col min="13" max="13" width="3.54296875" customWidth="1"/>
    <col min="14" max="14" width="10.81640625" bestFit="1" customWidth="1"/>
    <col min="15" max="15" width="3.54296875" customWidth="1"/>
    <col min="16" max="16" width="10.90625" bestFit="1" customWidth="1"/>
  </cols>
  <sheetData>
    <row r="3" spans="2:17" ht="15" thickBot="1" x14ac:dyDescent="0.4">
      <c r="J3" s="39" t="s">
        <v>37</v>
      </c>
      <c r="L3" s="39" t="s">
        <v>38</v>
      </c>
      <c r="N3" s="39" t="s">
        <v>17</v>
      </c>
      <c r="P3" s="31" t="s">
        <v>49</v>
      </c>
      <c r="Q3" s="63" t="s">
        <v>50</v>
      </c>
    </row>
    <row r="4" spans="2:17" ht="15" thickBot="1" x14ac:dyDescent="0.4">
      <c r="B4" s="83"/>
      <c r="C4" s="83"/>
      <c r="D4" s="83"/>
      <c r="E4" s="83"/>
      <c r="F4" s="84"/>
      <c r="G4" s="83"/>
      <c r="H4" s="83"/>
      <c r="J4" s="55" t="s">
        <v>34</v>
      </c>
      <c r="L4" s="58" t="s">
        <v>13</v>
      </c>
      <c r="N4" s="43">
        <v>62</v>
      </c>
      <c r="P4" s="31" t="s">
        <v>51</v>
      </c>
      <c r="Q4" s="64" t="s">
        <v>52</v>
      </c>
    </row>
    <row r="5" spans="2:17" ht="15" thickBot="1" x14ac:dyDescent="0.4">
      <c r="B5" s="83"/>
      <c r="C5" s="39" t="s">
        <v>71</v>
      </c>
      <c r="D5" s="39" t="s">
        <v>67</v>
      </c>
      <c r="F5" s="39" t="s">
        <v>72</v>
      </c>
      <c r="G5" s="39" t="s">
        <v>1</v>
      </c>
      <c r="H5" s="83"/>
      <c r="J5" s="56" t="s">
        <v>44</v>
      </c>
      <c r="L5" s="59" t="s">
        <v>14</v>
      </c>
      <c r="P5" s="31" t="s">
        <v>53</v>
      </c>
      <c r="Q5" s="65" t="s">
        <v>54</v>
      </c>
    </row>
    <row r="6" spans="2:17" x14ac:dyDescent="0.35">
      <c r="B6" s="83"/>
      <c r="C6" s="76" t="s">
        <v>26</v>
      </c>
      <c r="D6" s="85">
        <v>101</v>
      </c>
      <c r="F6" s="40" t="s">
        <v>12</v>
      </c>
      <c r="G6" s="78">
        <v>49</v>
      </c>
      <c r="H6" s="83"/>
      <c r="J6" s="57" t="s">
        <v>45</v>
      </c>
    </row>
    <row r="7" spans="2:17" x14ac:dyDescent="0.35">
      <c r="B7" s="83"/>
      <c r="C7" s="77" t="s">
        <v>46</v>
      </c>
      <c r="D7" s="86">
        <v>20</v>
      </c>
      <c r="F7" s="41" t="s">
        <v>8</v>
      </c>
      <c r="G7" s="79">
        <v>19052</v>
      </c>
      <c r="H7" s="84"/>
    </row>
    <row r="8" spans="2:17" x14ac:dyDescent="0.35">
      <c r="B8" s="83"/>
      <c r="C8" s="77" t="s">
        <v>43</v>
      </c>
      <c r="D8" s="86">
        <v>30</v>
      </c>
      <c r="F8" s="41" t="s">
        <v>9</v>
      </c>
      <c r="G8" s="79">
        <v>-3031</v>
      </c>
      <c r="H8" s="84"/>
    </row>
    <row r="9" spans="2:17" ht="15" thickBot="1" x14ac:dyDescent="0.4">
      <c r="B9" s="83"/>
      <c r="C9" s="91"/>
      <c r="D9" s="86"/>
      <c r="F9" s="42" t="s">
        <v>10</v>
      </c>
      <c r="G9" s="80">
        <v>3990</v>
      </c>
      <c r="H9" s="84"/>
    </row>
    <row r="10" spans="2:17" x14ac:dyDescent="0.35">
      <c r="B10" s="83"/>
      <c r="C10" s="83"/>
      <c r="D10" s="83"/>
      <c r="E10" s="83"/>
      <c r="F10" s="84"/>
      <c r="G10" s="83"/>
      <c r="H10" s="84"/>
    </row>
    <row r="11" spans="2:17" x14ac:dyDescent="0.35">
      <c r="H11" s="75"/>
    </row>
    <row r="12" spans="2:17" x14ac:dyDescent="0.35">
      <c r="B12" s="81"/>
      <c r="C12" s="81"/>
      <c r="D12" s="81"/>
      <c r="E12" s="81"/>
      <c r="F12" s="82"/>
      <c r="G12" s="82"/>
      <c r="H12" s="82"/>
    </row>
    <row r="13" spans="2:17" x14ac:dyDescent="0.35">
      <c r="B13" s="81"/>
      <c r="C13" s="39" t="s">
        <v>69</v>
      </c>
      <c r="D13" s="39" t="s">
        <v>67</v>
      </c>
      <c r="F13" s="39" t="s">
        <v>70</v>
      </c>
      <c r="G13" s="39" t="s">
        <v>68</v>
      </c>
      <c r="H13" s="81"/>
    </row>
    <row r="14" spans="2:17" x14ac:dyDescent="0.35">
      <c r="B14" s="81"/>
      <c r="C14" s="66" t="s">
        <v>11</v>
      </c>
      <c r="D14" s="85">
        <v>49</v>
      </c>
      <c r="F14" s="66" t="s">
        <v>11</v>
      </c>
      <c r="G14" s="88">
        <v>101</v>
      </c>
      <c r="H14" s="81"/>
    </row>
    <row r="15" spans="2:17" x14ac:dyDescent="0.35">
      <c r="B15" s="81"/>
      <c r="C15" s="67" t="s">
        <v>2</v>
      </c>
      <c r="D15" s="86">
        <v>6</v>
      </c>
      <c r="F15" s="67" t="s">
        <v>2</v>
      </c>
      <c r="G15" s="89">
        <v>200</v>
      </c>
      <c r="H15" s="81"/>
    </row>
    <row r="16" spans="2:17" x14ac:dyDescent="0.35">
      <c r="B16" s="81"/>
      <c r="C16" s="67" t="s">
        <v>3</v>
      </c>
      <c r="D16" s="86">
        <v>856</v>
      </c>
      <c r="F16" s="67" t="s">
        <v>3</v>
      </c>
      <c r="G16" s="89">
        <v>300</v>
      </c>
      <c r="H16" s="81"/>
    </row>
    <row r="17" spans="2:8" x14ac:dyDescent="0.35">
      <c r="B17" s="81"/>
      <c r="C17" s="67" t="s">
        <v>4</v>
      </c>
      <c r="D17" s="86">
        <v>4</v>
      </c>
      <c r="F17" s="67" t="s">
        <v>4</v>
      </c>
      <c r="G17" s="89">
        <v>400</v>
      </c>
      <c r="H17" s="81"/>
    </row>
    <row r="18" spans="2:8" x14ac:dyDescent="0.35">
      <c r="B18" s="81"/>
      <c r="C18" s="67" t="s">
        <v>5</v>
      </c>
      <c r="D18" s="86">
        <v>5</v>
      </c>
      <c r="F18" s="67" t="s">
        <v>5</v>
      </c>
      <c r="G18" s="89">
        <v>500</v>
      </c>
      <c r="H18" s="81"/>
    </row>
    <row r="19" spans="2:8" x14ac:dyDescent="0.35">
      <c r="B19" s="81"/>
      <c r="C19" s="67" t="s">
        <v>6</v>
      </c>
      <c r="D19" s="86">
        <v>556</v>
      </c>
      <c r="F19" s="67" t="s">
        <v>6</v>
      </c>
      <c r="G19" s="89">
        <v>600</v>
      </c>
      <c r="H19" s="81"/>
    </row>
    <row r="20" spans="2:8" x14ac:dyDescent="0.35">
      <c r="B20" s="81"/>
      <c r="C20" s="68" t="s">
        <v>7</v>
      </c>
      <c r="D20" s="87">
        <v>107</v>
      </c>
      <c r="F20" s="68" t="s">
        <v>7</v>
      </c>
      <c r="G20" s="90">
        <v>700</v>
      </c>
      <c r="H20" s="81"/>
    </row>
    <row r="21" spans="2:8" x14ac:dyDescent="0.35">
      <c r="B21" s="81"/>
      <c r="C21" s="81"/>
      <c r="D21" s="81"/>
      <c r="E21" s="81"/>
      <c r="F21" s="81"/>
      <c r="G21" s="81"/>
      <c r="H21" s="81"/>
    </row>
  </sheetData>
  <pageMargins left="0.511811024" right="0.511811024" top="0.78740157499999996" bottom="0.78740157499999996" header="0.31496062000000002" footer="0.31496062000000002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F04AA9-0F38-4883-B1BB-5C2BD7AC6113}">
  <sheetPr codeName="Sheet4"/>
  <dimension ref="A3:D11"/>
  <sheetViews>
    <sheetView workbookViewId="0">
      <selection activeCell="B7" sqref="B7"/>
    </sheetView>
  </sheetViews>
  <sheetFormatPr defaultRowHeight="14.5" x14ac:dyDescent="0.35"/>
  <cols>
    <col min="1" max="1" width="14.1796875" bestFit="1" customWidth="1"/>
    <col min="2" max="2" width="15.26953125" bestFit="1" customWidth="1"/>
    <col min="3" max="3" width="8.6328125" bestFit="1" customWidth="1"/>
    <col min="4" max="4" width="12.1796875" bestFit="1" customWidth="1"/>
    <col min="5" max="5" width="9.453125" bestFit="1" customWidth="1"/>
    <col min="6" max="6" width="10.7265625" bestFit="1" customWidth="1"/>
  </cols>
  <sheetData>
    <row r="3" spans="1:4" x14ac:dyDescent="0.35">
      <c r="A3" s="71" t="s">
        <v>66</v>
      </c>
      <c r="B3" s="71" t="s">
        <v>65</v>
      </c>
    </row>
    <row r="4" spans="1:4" x14ac:dyDescent="0.35">
      <c r="A4" s="71" t="s">
        <v>63</v>
      </c>
      <c r="B4" s="74">
        <v>3</v>
      </c>
      <c r="C4" s="74">
        <v>4</v>
      </c>
      <c r="D4" t="s">
        <v>64</v>
      </c>
    </row>
    <row r="5" spans="1:4" x14ac:dyDescent="0.35">
      <c r="A5" s="72" t="s">
        <v>6</v>
      </c>
      <c r="B5" s="73">
        <v>731.25</v>
      </c>
      <c r="C5" s="73">
        <v>150</v>
      </c>
      <c r="D5" s="73">
        <v>881.25</v>
      </c>
    </row>
    <row r="6" spans="1:4" x14ac:dyDescent="0.35">
      <c r="A6" s="72" t="s">
        <v>11</v>
      </c>
      <c r="B6" s="73">
        <v>162079</v>
      </c>
      <c r="C6" s="73">
        <v>527</v>
      </c>
      <c r="D6" s="73">
        <v>162606</v>
      </c>
    </row>
    <row r="7" spans="1:4" x14ac:dyDescent="0.35">
      <c r="A7" s="72" t="s">
        <v>7</v>
      </c>
      <c r="B7" s="73"/>
      <c r="C7" s="73">
        <v>150</v>
      </c>
      <c r="D7" s="73">
        <v>150</v>
      </c>
    </row>
    <row r="8" spans="1:4" x14ac:dyDescent="0.35">
      <c r="A8" s="72" t="s">
        <v>3</v>
      </c>
      <c r="B8" s="73">
        <v>657</v>
      </c>
      <c r="C8" s="73">
        <v>1</v>
      </c>
      <c r="D8" s="73">
        <v>658</v>
      </c>
    </row>
    <row r="9" spans="1:4" x14ac:dyDescent="0.35">
      <c r="A9" s="72" t="s">
        <v>4</v>
      </c>
      <c r="B9" s="73">
        <v>1138</v>
      </c>
      <c r="C9" s="73"/>
      <c r="D9" s="73">
        <v>1138</v>
      </c>
    </row>
    <row r="10" spans="1:4" x14ac:dyDescent="0.35">
      <c r="A10" s="72" t="s">
        <v>2</v>
      </c>
      <c r="B10" s="73">
        <v>3</v>
      </c>
      <c r="C10" s="73">
        <v>1</v>
      </c>
      <c r="D10" s="73">
        <v>4</v>
      </c>
    </row>
    <row r="11" spans="1:4" x14ac:dyDescent="0.35">
      <c r="A11" s="72" t="s">
        <v>64</v>
      </c>
      <c r="B11" s="73">
        <v>164608.25</v>
      </c>
      <c r="C11" s="73">
        <v>829</v>
      </c>
      <c r="D11" s="73">
        <v>165437.25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1"/>
  <dimension ref="A2:I3"/>
  <sheetViews>
    <sheetView workbookViewId="0">
      <selection activeCell="G6" sqref="G6:G7"/>
    </sheetView>
  </sheetViews>
  <sheetFormatPr defaultRowHeight="14.5" x14ac:dyDescent="0.35"/>
  <cols>
    <col min="1" max="1" width="10.81640625" bestFit="1" customWidth="1"/>
    <col min="2" max="2" width="7.453125" bestFit="1" customWidth="1"/>
    <col min="3" max="3" width="14.1796875" bestFit="1" customWidth="1"/>
    <col min="4" max="4" width="8" bestFit="1" customWidth="1"/>
    <col min="5" max="5" width="8.453125" bestFit="1" customWidth="1"/>
    <col min="6" max="6" width="13.453125" bestFit="1" customWidth="1"/>
    <col min="7" max="7" width="10.453125" bestFit="1" customWidth="1"/>
    <col min="8" max="8" width="10.81640625" bestFit="1" customWidth="1"/>
    <col min="9" max="9" width="21" bestFit="1" customWidth="1"/>
  </cols>
  <sheetData>
    <row r="2" spans="1:9" x14ac:dyDescent="0.35">
      <c r="A2" t="s">
        <v>18</v>
      </c>
      <c r="B2" s="36" t="s">
        <v>19</v>
      </c>
      <c r="C2" t="s">
        <v>20</v>
      </c>
      <c r="D2" t="s">
        <v>22</v>
      </c>
      <c r="E2" s="36" t="s">
        <v>24</v>
      </c>
      <c r="F2" s="36" t="s">
        <v>25</v>
      </c>
      <c r="G2" s="37" t="s">
        <v>27</v>
      </c>
      <c r="H2" s="37" t="s">
        <v>29</v>
      </c>
      <c r="I2" s="37" t="s">
        <v>31</v>
      </c>
    </row>
    <row r="3" spans="1:9" x14ac:dyDescent="0.35">
      <c r="A3" s="34">
        <v>43164</v>
      </c>
      <c r="B3" s="36" t="s">
        <v>16</v>
      </c>
      <c r="C3" t="s">
        <v>21</v>
      </c>
      <c r="D3" s="35" t="s">
        <v>23</v>
      </c>
      <c r="E3" s="36">
        <v>1550</v>
      </c>
      <c r="F3" s="36" t="s">
        <v>26</v>
      </c>
      <c r="G3" s="37" t="s">
        <v>28</v>
      </c>
      <c r="H3" s="37" t="s">
        <v>30</v>
      </c>
      <c r="I3" s="37" t="s">
        <v>32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Menu</vt:lpstr>
      <vt:lpstr>Transacoes</vt:lpstr>
      <vt:lpstr>SysLog</vt:lpstr>
      <vt:lpstr>Config</vt:lpstr>
      <vt:lpstr>Reports</vt:lpstr>
      <vt:lpstr>Plan1</vt:lpstr>
      <vt:lpstr>Cliente.BR</vt:lpstr>
      <vt:lpstr>Cliente.US</vt:lpstr>
      <vt:lpstr>Data_Corrente</vt:lpstr>
      <vt:lpstr>DataSet</vt:lpstr>
      <vt:lpstr>Lista_Bancos_Brasil</vt:lpstr>
      <vt:lpstr>Lista_de_bancos</vt:lpstr>
      <vt:lpstr>Lista_de_Moedas</vt:lpstr>
      <vt:lpstr>Lista_de_Pessoas</vt:lpstr>
      <vt:lpstr>Lista_De_Saldos_Destino</vt:lpstr>
      <vt:lpstr>Lista_De_Saldos_Origem</vt:lpstr>
      <vt:lpstr>MM.BR</vt:lpstr>
      <vt:lpstr>MM.US</vt:lpstr>
      <vt:lpstr>PrimaryKey</vt:lpstr>
      <vt:lpstr>SysLog</vt:lpstr>
      <vt:lpstr>Tipo_de_Transacao</vt:lpstr>
      <vt:lpstr>Usuario_Ativo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rrassis</dc:creator>
  <cp:keywords>RBC Internal</cp:keywords>
  <cp:lastModifiedBy>Luiz Break</cp:lastModifiedBy>
  <dcterms:created xsi:type="dcterms:W3CDTF">2019-02-26T15:58:30Z</dcterms:created>
  <dcterms:modified xsi:type="dcterms:W3CDTF">2019-03-18T02:44:36Z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3c3e9d87-8e6c-425d-a9c8-8040055a7721</vt:lpwstr>
  </property>
  <property fmtid="{D5CDD505-2E9C-101B-9397-08002B2CF9AE}" pid="3" name="Classification">
    <vt:lpwstr>TT_RBC_Internal</vt:lpwstr>
  </property>
</Properties>
</file>